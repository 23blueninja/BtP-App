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Sheet" sheetId="1" r:id="rId5"/>
    <sheet state="visible" name="Features" sheetId="2" r:id="rId6"/>
    <sheet state="visible" name="Spells &amp; Maneuver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7">
      <text>
        <t xml:space="preserve">If you have not yet moved on the current turn, you jump 1 space. If you have moved, you jump a number of spaces up to 1 plus the number of spaces moved in a straight line prior to taking this action, to a maximum of 2 plus your VIG points.</t>
      </text>
    </comment>
    <comment authorId="0" ref="E47">
      <text>
        <t xml:space="preserve">You jump up, reaching a number of spaces above you equal to 1 plus half your VIG points, rounded down. Creatures with negative VIG cannot jump high enough to be significant. You can also move 1 space horizontally as part of this jump to land on an elevated surface.</t>
      </text>
    </comment>
    <comment authorId="0" ref="F14">
      <text>
        <t xml:space="preserve">Expend 1 Rest Charge as part of a Short Rest to regain Endurance equal to half your maximum Endurance</t>
      </text>
    </comment>
  </commentList>
</comments>
</file>

<file path=xl/sharedStrings.xml><?xml version="1.0" encoding="utf-8"?>
<sst xmlns="http://schemas.openxmlformats.org/spreadsheetml/2006/main" count="284" uniqueCount="97">
  <si>
    <t>Character Name:</t>
  </si>
  <si>
    <t>-</t>
  </si>
  <si>
    <t>I Respond to new...</t>
  </si>
  <si>
    <t>Ancestry:</t>
  </si>
  <si>
    <t>Cogitani</t>
  </si>
  <si>
    <t>Radiance</t>
  </si>
  <si>
    <t>Situations with...</t>
  </si>
  <si>
    <t>Problems with...</t>
  </si>
  <si>
    <t>People with...</t>
  </si>
  <si>
    <t>Class:</t>
  </si>
  <si>
    <t>Arcanist</t>
  </si>
  <si>
    <t>Action</t>
  </si>
  <si>
    <t>Instinct</t>
  </si>
  <si>
    <t>Apathy</t>
  </si>
  <si>
    <t>Bonus</t>
  </si>
  <si>
    <t>Save Checks</t>
  </si>
  <si>
    <t>Endurance</t>
  </si>
  <si>
    <t>AC</t>
  </si>
  <si>
    <t>Movement</t>
  </si>
  <si>
    <t>Initiative</t>
  </si>
  <si>
    <t>Level</t>
  </si>
  <si>
    <t>Temp:</t>
  </si>
  <si>
    <t>Left</t>
  </si>
  <si>
    <t>Max</t>
  </si>
  <si>
    <t>Resistances, Immunities, &amp; Vulnerabilities</t>
  </si>
  <si>
    <t>Die</t>
  </si>
  <si>
    <t>Vitality Max:</t>
  </si>
  <si>
    <t>Vitality
Left:</t>
  </si>
  <si>
    <t>Rest Charges:</t>
  </si>
  <si>
    <t>VIG</t>
  </si>
  <si>
    <t>Points:</t>
  </si>
  <si>
    <t>Name</t>
  </si>
  <si>
    <t>Mod Die</t>
  </si>
  <si>
    <t>Rank</t>
  </si>
  <si>
    <t>Movement &amp;
Senses</t>
  </si>
  <si>
    <t>Alignments</t>
  </si>
  <si>
    <t>Professions</t>
  </si>
  <si>
    <t>AGI</t>
  </si>
  <si>
    <t>Hobbies</t>
  </si>
  <si>
    <t>Armor Training</t>
  </si>
  <si>
    <t>Conditions</t>
  </si>
  <si>
    <t>d6</t>
  </si>
  <si>
    <t>None</t>
  </si>
  <si>
    <t>PER</t>
  </si>
  <si>
    <t>Weapon Training</t>
  </si>
  <si>
    <t>INT</t>
  </si>
  <si>
    <t>Actions</t>
  </si>
  <si>
    <t>AP</t>
  </si>
  <si>
    <t>Short Description</t>
  </si>
  <si>
    <t>PRS</t>
  </si>
  <si>
    <t>Weapons</t>
  </si>
  <si>
    <t>DV/Deadly DV</t>
  </si>
  <si>
    <t>Perception
Radius</t>
  </si>
  <si>
    <t>Max Jump Distance</t>
  </si>
  <si>
    <t>Bulk</t>
  </si>
  <si>
    <t>Inventory</t>
  </si>
  <si>
    <t>Long Jump</t>
  </si>
  <si>
    <t>High Jump</t>
  </si>
  <si>
    <t>Experiences</t>
  </si>
  <si>
    <t>VIG Bonus Inventory</t>
  </si>
  <si>
    <t>Requires 1 VIG</t>
  </si>
  <si>
    <t>Requies 2 VIG</t>
  </si>
  <si>
    <t>Requires 3 VIG</t>
  </si>
  <si>
    <t>Requires 4 VIG</t>
  </si>
  <si>
    <t>Requires 5 VIG</t>
  </si>
  <si>
    <t>Bulkless Item Inventory</t>
  </si>
  <si>
    <t>Item</t>
  </si>
  <si>
    <t>#</t>
  </si>
  <si>
    <t>Features</t>
  </si>
  <si>
    <t>Source</t>
  </si>
  <si>
    <t>Uses / Use Limit</t>
  </si>
  <si>
    <t>Feature Description</t>
  </si>
  <si>
    <t>&lt;name&gt;</t>
  </si>
  <si>
    <t>&lt;source&gt;</t>
  </si>
  <si>
    <t>&lt;uses&gt;</t>
  </si>
  <si>
    <t>&lt;description&gt;</t>
  </si>
  <si>
    <t>Spells &amp; Maneuvers</t>
  </si>
  <si>
    <t>Max Spell
Level</t>
  </si>
  <si>
    <t>Prismaburn/
Indebted</t>
  </si>
  <si>
    <t>Prepared Spells</t>
  </si>
  <si>
    <t>Resource</t>
  </si>
  <si>
    <t>Spent</t>
  </si>
  <si>
    <t>Limit</t>
  </si>
  <si>
    <t>Range</t>
  </si>
  <si>
    <t>Check Type</t>
  </si>
  <si>
    <t>Casting/Execution Time</t>
  </si>
  <si>
    <t>Category</t>
  </si>
  <si>
    <t>Duration</t>
  </si>
  <si>
    <t>Requirements</t>
  </si>
  <si>
    <t>Description</t>
  </si>
  <si>
    <t>&lt;range&gt;</t>
  </si>
  <si>
    <t>Skill Check</t>
  </si>
  <si>
    <t>&lt;casting time&gt;</t>
  </si>
  <si>
    <t>level</t>
  </si>
  <si>
    <t>&lt;category&gt;</t>
  </si>
  <si>
    <t>&lt;duration&gt;</t>
  </si>
  <si>
    <t>&lt;requirements&gt;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</si>
</sst>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b/>
      <sz val="15.0"/>
      <color theme="1"/>
      <name val="Arial"/>
    </font>
    <font>
      <b/>
      <sz val="15.0"/>
      <color theme="1"/>
      <name val="Arial"/>
      <scheme val="minor"/>
    </font>
    <font>
      <b/>
      <sz val="20.0"/>
      <color theme="1"/>
      <name val="Arial"/>
    </font>
    <font>
      <b/>
      <sz val="10.0"/>
      <color theme="1"/>
      <name val="Arial"/>
    </font>
    <font>
      <b/>
      <sz val="20.0"/>
      <color theme="1"/>
      <name val="Arial"/>
      <scheme val="minor"/>
    </font>
    <font>
      <color theme="1"/>
      <name val="Arial"/>
    </font>
    <font>
      <sz val="8.0"/>
      <color theme="1"/>
      <name val="Arial"/>
      <scheme val="minor"/>
    </font>
    <font>
      <b/>
      <sz val="9.0"/>
      <color theme="1"/>
      <name val="Arial"/>
      <scheme val="minor"/>
    </font>
    <font>
      <b/>
      <sz val="3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5" fillId="0" fontId="5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7" fillId="0" fontId="1" numFmtId="0" xfId="0" applyAlignment="1" applyBorder="1" applyFont="1">
      <alignment horizontal="center" readingOrder="0"/>
    </xf>
    <xf borderId="8" fillId="0" fontId="2" numFmtId="0" xfId="0" applyBorder="1" applyFont="1"/>
    <xf borderId="1" fillId="0" fontId="5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bottom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vertical="center"/>
    </xf>
    <xf borderId="4" fillId="0" fontId="2" numFmtId="0" xfId="0" applyBorder="1" applyFont="1"/>
    <xf borderId="7" fillId="0" fontId="1" numFmtId="0" xfId="0" applyAlignment="1" applyBorder="1" applyFont="1">
      <alignment horizontal="center"/>
    </xf>
    <xf borderId="7" fillId="0" fontId="2" numFmtId="0" xfId="0" applyBorder="1" applyFont="1"/>
    <xf borderId="9" fillId="0" fontId="4" numFmtId="0" xfId="0" applyAlignment="1" applyBorder="1" applyFont="1">
      <alignment horizontal="center" readingOrder="0"/>
    </xf>
    <xf borderId="9" fillId="2" fontId="4" numFmtId="0" xfId="0" applyAlignment="1" applyBorder="1" applyFill="1" applyFont="1">
      <alignment horizontal="center" readingOrder="0"/>
    </xf>
    <xf borderId="9" fillId="0" fontId="11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readingOrder="0" vertical="center"/>
    </xf>
    <xf borderId="7" fillId="2" fontId="1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1" fillId="2" fontId="7" numFmtId="0" xfId="0" applyAlignment="1" applyBorder="1" applyFill="1" applyFont="1">
      <alignment horizontal="right" vertical="bottom"/>
    </xf>
    <xf borderId="2" fillId="2" fontId="7" numFmtId="0" xfId="0" applyAlignment="1" applyBorder="1" applyFill="1" applyFont="1">
      <alignment horizontal="center" vertical="bottom"/>
    </xf>
    <xf borderId="9" fillId="0" fontId="7" numFmtId="0" xfId="0" applyAlignment="1" applyBorder="1" applyFont="1">
      <alignment horizontal="right" vertical="center"/>
    </xf>
    <xf borderId="10" fillId="0" fontId="10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center" vertical="bottom"/>
    </xf>
    <xf borderId="0" fillId="0" fontId="1" numFmtId="0" xfId="0" applyFont="1"/>
    <xf borderId="1" fillId="0" fontId="13" numFmtId="0" xfId="0" applyAlignment="1" applyBorder="1" applyFont="1">
      <alignment vertical="bottom"/>
    </xf>
    <xf borderId="6" fillId="0" fontId="11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9" fillId="0" fontId="1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 vertical="center"/>
    </xf>
    <xf borderId="1" fillId="0" fontId="14" numFmtId="0" xfId="0" applyAlignment="1" applyBorder="1" applyFont="1">
      <alignment readingOrder="0"/>
    </xf>
    <xf borderId="4" fillId="0" fontId="1" numFmtId="0" xfId="0" applyAlignment="1" applyBorder="1" applyFont="1">
      <alignment readingOrder="0" vertical="center"/>
    </xf>
    <xf borderId="13" fillId="0" fontId="3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Border="1" applyFont="1"/>
    <xf borderId="9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/>
    </xf>
    <xf borderId="1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3" fontId="13" numFmtId="0" xfId="0" applyAlignment="1" applyBorder="1" applyFill="1" applyFont="1">
      <alignment horizontal="center" vertical="bottom"/>
    </xf>
    <xf borderId="9" fillId="0" fontId="7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4" fillId="0" fontId="13" numFmtId="0" xfId="0" applyAlignment="1" applyBorder="1" applyFont="1">
      <alignment vertical="bottom"/>
    </xf>
    <xf borderId="9" fillId="0" fontId="1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shrinkToFit="0" vertical="top" wrapText="1"/>
    </xf>
    <xf borderId="9" fillId="0" fontId="10" numFmtId="0" xfId="0" applyAlignment="1" applyBorder="1" applyFont="1">
      <alignment horizontal="center"/>
    </xf>
    <xf borderId="9" fillId="0" fontId="15" numFmtId="0" xfId="0" applyAlignment="1" applyBorder="1" applyFont="1">
      <alignment horizontal="center" readingOrder="0" vertical="center"/>
    </xf>
    <xf borderId="9" fillId="2" fontId="16" numFmtId="0" xfId="0" applyAlignment="1" applyBorder="1" applyFill="1" applyFont="1">
      <alignment horizontal="center" vertical="center"/>
    </xf>
    <xf borderId="9" fillId="0" fontId="16" numFmtId="0" xfId="0" applyAlignment="1" applyBorder="1" applyFont="1">
      <alignment horizontal="center" readingOrder="0" vertical="center"/>
    </xf>
    <xf borderId="9" fillId="2" fontId="16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top" wrapText="1"/>
    </xf>
    <xf borderId="0" fillId="4" fontId="1" numFmtId="0" xfId="0" applyFill="1" applyFont="1"/>
    <xf borderId="1" fillId="0" fontId="7" numFmtId="0" xfId="0" applyAlignment="1" applyBorder="1" applyFont="1">
      <alignment vertical="bottom"/>
    </xf>
    <xf borderId="1" fillId="0" fontId="13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3.0"/>
  </cols>
  <sheetData>
    <row r="1">
      <c r="Q1" s="1"/>
    </row>
    <row r="2">
      <c r="B2" s="2" t="s">
        <v>0</v>
      </c>
      <c r="C2" s="3"/>
      <c r="D2" s="3"/>
      <c r="E2" s="3"/>
      <c r="F2" s="4"/>
      <c r="G2" s="5" t="s">
        <v>1</v>
      </c>
      <c r="H2" s="3"/>
      <c r="I2" s="3"/>
      <c r="J2" s="3"/>
      <c r="K2" s="3"/>
      <c r="L2" s="3"/>
      <c r="M2" s="3"/>
      <c r="N2" s="4"/>
      <c r="P2" s="6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</row>
    <row r="3">
      <c r="B3" s="7" t="s">
        <v>3</v>
      </c>
      <c r="C3" s="8"/>
      <c r="D3" s="9"/>
      <c r="E3" s="10" t="s">
        <v>4</v>
      </c>
      <c r="F3" s="8"/>
      <c r="G3" s="8"/>
      <c r="H3" s="8"/>
      <c r="I3" s="8"/>
      <c r="J3" s="11" t="s">
        <v>5</v>
      </c>
      <c r="K3" s="3"/>
      <c r="L3" s="3"/>
      <c r="M3" s="3"/>
      <c r="N3" s="4"/>
      <c r="P3" s="12" t="s">
        <v>6</v>
      </c>
      <c r="T3" s="13"/>
      <c r="U3" s="12" t="s">
        <v>7</v>
      </c>
      <c r="Y3" s="13"/>
      <c r="Z3" s="12" t="s">
        <v>8</v>
      </c>
      <c r="AD3" s="13"/>
    </row>
    <row r="4">
      <c r="B4" s="14" t="s">
        <v>9</v>
      </c>
      <c r="C4" s="4"/>
      <c r="D4" s="15" t="s">
        <v>10</v>
      </c>
      <c r="E4" s="8"/>
      <c r="F4" s="8"/>
      <c r="G4" s="8"/>
      <c r="H4" s="8"/>
      <c r="I4" s="8"/>
      <c r="J4" s="16" t="b">
        <v>0</v>
      </c>
      <c r="K4" s="17"/>
      <c r="L4" s="17"/>
      <c r="M4" s="17"/>
      <c r="N4" s="18"/>
      <c r="P4" s="19" t="s">
        <v>11</v>
      </c>
      <c r="Q4" s="8"/>
      <c r="R4" s="8"/>
      <c r="S4" s="8"/>
      <c r="T4" s="9"/>
      <c r="U4" s="19" t="s">
        <v>12</v>
      </c>
      <c r="V4" s="8"/>
      <c r="W4" s="8"/>
      <c r="X4" s="8"/>
      <c r="Y4" s="9"/>
      <c r="Z4" s="19" t="s">
        <v>13</v>
      </c>
      <c r="AA4" s="8"/>
      <c r="AB4" s="8"/>
      <c r="AC4" s="8"/>
      <c r="AD4" s="9"/>
    </row>
    <row r="5">
      <c r="P5" s="1"/>
    </row>
    <row r="6">
      <c r="B6" s="20" t="s">
        <v>14</v>
      </c>
      <c r="C6" s="3"/>
      <c r="D6" s="4"/>
      <c r="F6" s="21" t="s">
        <v>15</v>
      </c>
      <c r="G6" s="22"/>
      <c r="H6" s="22"/>
      <c r="I6" s="23"/>
      <c r="K6" s="21" t="s">
        <v>16</v>
      </c>
      <c r="L6" s="22"/>
      <c r="M6" s="22"/>
      <c r="N6" s="23"/>
      <c r="P6" s="24" t="s">
        <v>17</v>
      </c>
      <c r="Q6" s="3"/>
      <c r="R6" s="4"/>
      <c r="T6" s="25" t="s">
        <v>18</v>
      </c>
      <c r="U6" s="3"/>
      <c r="V6" s="4"/>
      <c r="X6" s="24" t="s">
        <v>19</v>
      </c>
      <c r="Y6" s="3"/>
      <c r="Z6" s="4"/>
      <c r="AB6" s="24" t="s">
        <v>20</v>
      </c>
      <c r="AC6" s="3"/>
      <c r="AD6" s="4"/>
    </row>
    <row r="7">
      <c r="B7" s="26">
        <f>ROUNDUP(AB7/2,0)+1</f>
        <v>2</v>
      </c>
      <c r="D7" s="13"/>
      <c r="F7" s="27"/>
      <c r="G7" s="23"/>
      <c r="H7" s="28">
        <v>0.0</v>
      </c>
      <c r="I7" s="23"/>
      <c r="K7" s="21" t="s">
        <v>21</v>
      </c>
      <c r="L7" s="22"/>
      <c r="M7" s="29">
        <v>0.0</v>
      </c>
      <c r="N7" s="23"/>
      <c r="P7" s="30">
        <f>0</f>
        <v>0</v>
      </c>
      <c r="Q7" s="22"/>
      <c r="R7" s="23"/>
      <c r="T7" s="30">
        <f>3+D21</f>
        <v>2</v>
      </c>
      <c r="U7" s="22"/>
      <c r="V7" s="23"/>
      <c r="X7" s="30" t="str">
        <f>B27</f>
        <v>-d2</v>
      </c>
      <c r="Y7" s="22"/>
      <c r="Z7" s="23"/>
      <c r="AB7" s="30">
        <v>1.0</v>
      </c>
      <c r="AC7" s="22"/>
      <c r="AD7" s="23"/>
    </row>
    <row r="8">
      <c r="B8" s="31"/>
      <c r="C8" s="8"/>
      <c r="D8" s="9"/>
      <c r="F8" s="32"/>
      <c r="G8" s="13"/>
      <c r="H8" s="12">
        <v>0.0</v>
      </c>
      <c r="I8" s="13"/>
      <c r="K8" s="33"/>
      <c r="N8" s="13"/>
      <c r="P8" s="31"/>
      <c r="Q8" s="8"/>
      <c r="R8" s="9"/>
      <c r="T8" s="31"/>
      <c r="U8" s="8"/>
      <c r="V8" s="9"/>
      <c r="X8" s="31"/>
      <c r="Y8" s="8"/>
      <c r="Z8" s="9"/>
      <c r="AB8" s="31"/>
      <c r="AC8" s="8"/>
      <c r="AD8" s="9"/>
    </row>
    <row r="9">
      <c r="F9" s="32"/>
      <c r="G9" s="13"/>
      <c r="H9" s="12">
        <v>0.0</v>
      </c>
      <c r="I9" s="13"/>
      <c r="K9" s="34" t="s">
        <v>22</v>
      </c>
      <c r="L9" s="23"/>
      <c r="M9" s="35" t="s">
        <v>23</v>
      </c>
      <c r="N9" s="23"/>
    </row>
    <row r="10">
      <c r="B10" s="36" t="str">
        <f>IFS(D4="Gladiator","Martial",D4="Arcanist","Arcana",D4="Thaumaturge","Miracle",D4="Berserker","Wild",D4="Champion","Devotion",D4="Expert","Tactical",D4="Incarnate","Primordial",D4="Luminary","Lumen",D4="Troubadour","Art")</f>
        <v>Arcana</v>
      </c>
      <c r="C10" s="22"/>
      <c r="D10" s="23"/>
      <c r="F10" s="32"/>
      <c r="G10" s="13"/>
      <c r="H10" s="12">
        <v>0.0</v>
      </c>
      <c r="I10" s="13"/>
      <c r="K10" s="37">
        <v>20.0</v>
      </c>
      <c r="L10" s="13"/>
      <c r="M10" s="38">
        <v>20.0</v>
      </c>
      <c r="N10" s="13"/>
      <c r="Q10" s="39" t="s">
        <v>24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4"/>
    </row>
    <row r="11">
      <c r="B11" s="40" t="s">
        <v>25</v>
      </c>
      <c r="C11" s="8"/>
      <c r="D11" s="9"/>
      <c r="F11" s="41"/>
      <c r="G11" s="9"/>
      <c r="H11" s="42">
        <v>0.0</v>
      </c>
      <c r="I11" s="9"/>
      <c r="K11" s="31"/>
      <c r="L11" s="9"/>
      <c r="M11" s="31"/>
      <c r="N11" s="9"/>
      <c r="Q11" s="43" t="s">
        <v>1</v>
      </c>
      <c r="V11" s="12"/>
      <c r="W11" s="13"/>
      <c r="X11" s="43" t="s">
        <v>1</v>
      </c>
      <c r="AC11" s="12"/>
      <c r="AD11" s="13"/>
    </row>
    <row r="12">
      <c r="B12" s="26" t="str">
        <f>IFS(OR(AB7=1,AB7=2,AB7=3),"d6",OR(AB7=4,AB7=5,AB7=6),"d8",OR(AB7=7,AB7=8,AB7=9),"d10",AB7=10,"d12")</f>
        <v>d6</v>
      </c>
      <c r="D12" s="13"/>
      <c r="Q12" s="43" t="s">
        <v>1</v>
      </c>
      <c r="V12" s="12"/>
      <c r="W12" s="13"/>
      <c r="X12" s="43" t="s">
        <v>1</v>
      </c>
      <c r="AC12" s="12"/>
      <c r="AD12" s="13"/>
    </row>
    <row r="13">
      <c r="B13" s="31"/>
      <c r="C13" s="8"/>
      <c r="D13" s="9"/>
      <c r="F13" s="44" t="s">
        <v>26</v>
      </c>
      <c r="G13" s="3"/>
      <c r="H13" s="3"/>
      <c r="I13" s="3"/>
      <c r="J13" s="3"/>
      <c r="K13" s="45">
        <v>3.0</v>
      </c>
      <c r="L13" s="46" t="s">
        <v>27</v>
      </c>
      <c r="M13" s="22"/>
      <c r="N13" s="47">
        <v>3.0</v>
      </c>
      <c r="O13" s="23"/>
      <c r="Q13" s="43" t="s">
        <v>1</v>
      </c>
      <c r="V13" s="12"/>
      <c r="W13" s="13"/>
      <c r="X13" s="43" t="s">
        <v>1</v>
      </c>
      <c r="AC13" s="12"/>
      <c r="AD13" s="13"/>
    </row>
    <row r="14">
      <c r="F14" s="48" t="s">
        <v>28</v>
      </c>
      <c r="G14" s="8"/>
      <c r="H14" s="8"/>
      <c r="I14" s="8"/>
      <c r="J14" s="8"/>
      <c r="K14" s="49">
        <v>3.0</v>
      </c>
      <c r="L14" s="31"/>
      <c r="M14" s="8"/>
      <c r="N14" s="8"/>
      <c r="O14" s="9"/>
      <c r="Q14" s="19" t="s">
        <v>1</v>
      </c>
      <c r="R14" s="8"/>
      <c r="S14" s="8"/>
      <c r="T14" s="8"/>
      <c r="U14" s="8"/>
      <c r="V14" s="42"/>
      <c r="W14" s="9"/>
      <c r="X14" s="19" t="s">
        <v>1</v>
      </c>
      <c r="Y14" s="8"/>
      <c r="Z14" s="8"/>
      <c r="AA14" s="8"/>
      <c r="AB14" s="8"/>
      <c r="AC14" s="42"/>
      <c r="AD14" s="9"/>
    </row>
    <row r="15">
      <c r="B15" s="50"/>
      <c r="C15" s="20" t="s">
        <v>29</v>
      </c>
      <c r="D15" s="4"/>
    </row>
    <row r="16">
      <c r="B16" s="51" t="s">
        <v>30</v>
      </c>
      <c r="C16" s="4"/>
      <c r="D16" s="52">
        <v>-1.0</v>
      </c>
      <c r="F16" s="53" t="s">
        <v>31</v>
      </c>
      <c r="G16" s="22"/>
      <c r="H16" s="22"/>
      <c r="I16" s="23"/>
      <c r="J16" s="53" t="s">
        <v>32</v>
      </c>
      <c r="K16" s="22"/>
      <c r="L16" s="22"/>
      <c r="M16" s="53" t="s">
        <v>33</v>
      </c>
      <c r="N16" s="22"/>
      <c r="O16" s="23"/>
      <c r="Q16" s="54" t="s">
        <v>34</v>
      </c>
      <c r="R16" s="22"/>
      <c r="S16" s="22"/>
      <c r="T16" s="23"/>
      <c r="V16" s="53" t="s">
        <v>35</v>
      </c>
      <c r="W16" s="22"/>
      <c r="X16" s="22"/>
      <c r="Y16" s="22"/>
      <c r="Z16" s="22"/>
      <c r="AA16" s="22"/>
      <c r="AB16" s="22"/>
      <c r="AC16" s="22"/>
      <c r="AD16" s="23"/>
    </row>
    <row r="17">
      <c r="B17" s="26" t="str">
        <f>IFS(D16=-1,"-d2",D16=0,0,D16=1,"d2",D16=2,"d4",D16=3,"d6",D16=4,"d8",D16=5,"d10",D16=5,"d12")</f>
        <v>-d2</v>
      </c>
      <c r="D17" s="13"/>
      <c r="F17" s="55" t="s">
        <v>36</v>
      </c>
      <c r="G17" s="3"/>
      <c r="H17" s="3"/>
      <c r="I17" s="3"/>
      <c r="J17" s="3"/>
      <c r="K17" s="3"/>
      <c r="L17" s="3"/>
      <c r="M17" s="3"/>
      <c r="N17" s="3"/>
      <c r="O17" s="4"/>
      <c r="Q17" s="33"/>
      <c r="T17" s="13"/>
      <c r="V17" s="56" t="s">
        <v>1</v>
      </c>
      <c r="W17" s="22"/>
      <c r="X17" s="22"/>
      <c r="Y17" s="22"/>
      <c r="Z17" s="23"/>
      <c r="AA17" s="56" t="s">
        <v>1</v>
      </c>
      <c r="AB17" s="22"/>
      <c r="AC17" s="22"/>
      <c r="AD17" s="23"/>
    </row>
    <row r="18">
      <c r="B18" s="31"/>
      <c r="C18" s="8"/>
      <c r="D18" s="9"/>
      <c r="F18" s="43"/>
      <c r="I18" s="13"/>
      <c r="J18" s="12" t="s">
        <v>1</v>
      </c>
      <c r="M18" s="12" t="str">
        <f t="shared" ref="M18:M22" si="1">IFS(J18="-", "", J18="d4", "Novice", J18="d6", "Amateur", J18="d8", "Proficient", J18="d10", "Adept", J18="d12", "Master")</f>
        <v/>
      </c>
      <c r="O18" s="13"/>
      <c r="Q18" s="53"/>
      <c r="R18" s="22"/>
      <c r="S18" s="22"/>
      <c r="T18" s="23"/>
      <c r="V18" s="43" t="s">
        <v>1</v>
      </c>
      <c r="Z18" s="13"/>
      <c r="AA18" s="43" t="s">
        <v>1</v>
      </c>
      <c r="AD18" s="13"/>
    </row>
    <row r="19">
      <c r="F19" s="43"/>
      <c r="I19" s="13"/>
      <c r="J19" s="12" t="s">
        <v>1</v>
      </c>
      <c r="M19" s="12" t="str">
        <f t="shared" si="1"/>
        <v/>
      </c>
      <c r="O19" s="13"/>
      <c r="Q19" s="57"/>
      <c r="T19" s="13"/>
      <c r="V19" s="43" t="s">
        <v>1</v>
      </c>
      <c r="Z19" s="13"/>
      <c r="AA19" s="43" t="s">
        <v>1</v>
      </c>
      <c r="AD19" s="13"/>
    </row>
    <row r="20">
      <c r="B20" s="50"/>
      <c r="C20" s="20" t="s">
        <v>37</v>
      </c>
      <c r="D20" s="4"/>
      <c r="F20" s="43"/>
      <c r="I20" s="13"/>
      <c r="J20" s="12" t="s">
        <v>1</v>
      </c>
      <c r="M20" s="12" t="str">
        <f t="shared" si="1"/>
        <v/>
      </c>
      <c r="O20" s="13"/>
      <c r="Q20" s="57"/>
      <c r="T20" s="13"/>
      <c r="V20" s="43" t="s">
        <v>1</v>
      </c>
      <c r="Z20" s="13"/>
      <c r="AA20" s="43" t="s">
        <v>1</v>
      </c>
      <c r="AD20" s="13"/>
    </row>
    <row r="21">
      <c r="B21" s="58" t="s">
        <v>30</v>
      </c>
      <c r="C21" s="4"/>
      <c r="D21" s="59">
        <v>-1.0</v>
      </c>
      <c r="F21" s="43"/>
      <c r="I21" s="13"/>
      <c r="J21" s="12" t="s">
        <v>1</v>
      </c>
      <c r="M21" s="12" t="str">
        <f t="shared" si="1"/>
        <v/>
      </c>
      <c r="O21" s="13"/>
      <c r="Q21" s="60"/>
      <c r="R21" s="8"/>
      <c r="S21" s="8"/>
      <c r="T21" s="9"/>
      <c r="V21" s="19" t="s">
        <v>1</v>
      </c>
      <c r="W21" s="8"/>
      <c r="X21" s="8"/>
      <c r="Y21" s="8"/>
      <c r="Z21" s="9"/>
      <c r="AA21" s="19" t="s">
        <v>1</v>
      </c>
      <c r="AB21" s="8"/>
      <c r="AC21" s="8"/>
      <c r="AD21" s="9"/>
    </row>
    <row r="22">
      <c r="B22" s="26" t="str">
        <f>IFS(D21=-1,"-d2",D21=0,0,D21=1,"d2",D21=2,"d4",D21=3,"d6",D21=4,"d8",D21=5,"d10",D21=5,"d12")</f>
        <v>-d2</v>
      </c>
      <c r="D22" s="13"/>
      <c r="F22" s="43"/>
      <c r="I22" s="13"/>
      <c r="J22" s="12" t="s">
        <v>1</v>
      </c>
      <c r="M22" s="12" t="str">
        <f t="shared" si="1"/>
        <v/>
      </c>
      <c r="O22" s="13"/>
    </row>
    <row r="23">
      <c r="B23" s="31"/>
      <c r="C23" s="8"/>
      <c r="D23" s="9"/>
      <c r="F23" s="55" t="s">
        <v>38</v>
      </c>
      <c r="G23" s="3"/>
      <c r="H23" s="3"/>
      <c r="I23" s="3"/>
      <c r="J23" s="3"/>
      <c r="K23" s="3"/>
      <c r="L23" s="3"/>
      <c r="M23" s="3"/>
      <c r="N23" s="3"/>
      <c r="O23" s="4"/>
      <c r="Q23" s="6" t="s">
        <v>39</v>
      </c>
      <c r="R23" s="3"/>
      <c r="S23" s="3"/>
      <c r="T23" s="3"/>
      <c r="U23" s="3"/>
      <c r="V23" s="4"/>
      <c r="X23" s="55" t="s">
        <v>40</v>
      </c>
      <c r="Y23" s="3"/>
      <c r="Z23" s="3"/>
      <c r="AA23" s="3"/>
      <c r="AB23" s="4"/>
      <c r="AC23" s="55" t="s">
        <v>20</v>
      </c>
      <c r="AD23" s="4"/>
    </row>
    <row r="24">
      <c r="F24" s="43"/>
      <c r="I24" s="13"/>
      <c r="J24" s="12" t="s">
        <v>41</v>
      </c>
      <c r="M24" s="12" t="str">
        <f t="shared" ref="M24:M34" si="2">IFS(J24="-", "", J24="d4", "Novice", J24="d6", "Amateur", J24="d8", "Proficient", J24="d10", "Adept", J24="d12", "Master")</f>
        <v>Amateur</v>
      </c>
      <c r="O24" s="13"/>
      <c r="Q24" s="16" t="s">
        <v>42</v>
      </c>
      <c r="R24" s="3"/>
      <c r="S24" s="3"/>
      <c r="T24" s="3"/>
      <c r="U24" s="3"/>
      <c r="V24" s="4"/>
      <c r="X24" s="61" t="s">
        <v>1</v>
      </c>
      <c r="AC24" s="12">
        <v>0.0</v>
      </c>
      <c r="AD24" s="13"/>
    </row>
    <row r="25">
      <c r="B25" s="50"/>
      <c r="C25" s="20" t="s">
        <v>43</v>
      </c>
      <c r="D25" s="4"/>
      <c r="F25" s="43"/>
      <c r="I25" s="13"/>
      <c r="J25" s="12" t="s">
        <v>1</v>
      </c>
      <c r="M25" s="12" t="str">
        <f t="shared" si="2"/>
        <v/>
      </c>
      <c r="O25" s="13"/>
      <c r="X25" s="61" t="s">
        <v>1</v>
      </c>
      <c r="AC25" s="12">
        <v>0.0</v>
      </c>
      <c r="AD25" s="13"/>
    </row>
    <row r="26">
      <c r="B26" s="58" t="s">
        <v>30</v>
      </c>
      <c r="C26" s="4"/>
      <c r="D26" s="59">
        <v>-1.0</v>
      </c>
      <c r="F26" s="43"/>
      <c r="I26" s="13"/>
      <c r="J26" s="12" t="s">
        <v>1</v>
      </c>
      <c r="M26" s="12" t="str">
        <f t="shared" si="2"/>
        <v/>
      </c>
      <c r="O26" s="13"/>
      <c r="Q26" s="55" t="s">
        <v>44</v>
      </c>
      <c r="R26" s="3"/>
      <c r="S26" s="3"/>
      <c r="T26" s="3"/>
      <c r="U26" s="3"/>
      <c r="V26" s="4"/>
      <c r="X26" s="61" t="s">
        <v>1</v>
      </c>
      <c r="AC26" s="12">
        <v>0.0</v>
      </c>
      <c r="AD26" s="13"/>
    </row>
    <row r="27">
      <c r="B27" s="26" t="str">
        <f>IFS(D26=-1,"-d2",D26=0,0,D26=1,"d2",D26=2,"d4",D26=3,"d6",D26=4,"d8",D26=5,"d10",D26=5,"d12")</f>
        <v>-d2</v>
      </c>
      <c r="D27" s="13"/>
      <c r="F27" s="43"/>
      <c r="I27" s="13"/>
      <c r="J27" s="12" t="s">
        <v>1</v>
      </c>
      <c r="M27" s="12" t="str">
        <f t="shared" si="2"/>
        <v/>
      </c>
      <c r="O27" s="13"/>
      <c r="Q27" s="62"/>
      <c r="R27" s="3"/>
      <c r="S27" s="3"/>
      <c r="T27" s="3"/>
      <c r="U27" s="3"/>
      <c r="V27" s="4"/>
      <c r="X27" s="61" t="s">
        <v>1</v>
      </c>
      <c r="AC27" s="12">
        <v>0.0</v>
      </c>
      <c r="AD27" s="13"/>
    </row>
    <row r="28">
      <c r="B28" s="31"/>
      <c r="C28" s="8"/>
      <c r="D28" s="9"/>
      <c r="F28" s="43"/>
      <c r="I28" s="13"/>
      <c r="J28" s="12" t="s">
        <v>1</v>
      </c>
      <c r="M28" s="12" t="str">
        <f t="shared" si="2"/>
        <v/>
      </c>
      <c r="O28" s="13"/>
      <c r="Q28" s="62"/>
      <c r="R28" s="3"/>
      <c r="S28" s="3"/>
      <c r="T28" s="3"/>
      <c r="U28" s="3"/>
      <c r="V28" s="4"/>
      <c r="X28" s="61" t="s">
        <v>1</v>
      </c>
      <c r="AB28" s="13"/>
      <c r="AC28" s="12">
        <v>0.0</v>
      </c>
      <c r="AD28" s="13"/>
    </row>
    <row r="29">
      <c r="F29" s="43"/>
      <c r="I29" s="13"/>
      <c r="J29" s="12" t="s">
        <v>1</v>
      </c>
      <c r="M29" s="12" t="str">
        <f t="shared" si="2"/>
        <v/>
      </c>
      <c r="O29" s="13"/>
      <c r="Q29" s="62"/>
      <c r="R29" s="3"/>
      <c r="S29" s="3"/>
      <c r="T29" s="3"/>
      <c r="U29" s="3"/>
      <c r="V29" s="4"/>
      <c r="X29" s="61" t="s">
        <v>1</v>
      </c>
      <c r="AB29" s="13"/>
      <c r="AC29" s="12">
        <v>0.0</v>
      </c>
      <c r="AD29" s="13"/>
    </row>
    <row r="30">
      <c r="B30" s="50"/>
      <c r="C30" s="20" t="s">
        <v>45</v>
      </c>
      <c r="D30" s="4"/>
      <c r="F30" s="43"/>
      <c r="I30" s="13"/>
      <c r="J30" s="12" t="s">
        <v>1</v>
      </c>
      <c r="M30" s="12" t="str">
        <f t="shared" si="2"/>
        <v/>
      </c>
      <c r="O30" s="13"/>
      <c r="Q30" s="62"/>
      <c r="R30" s="3"/>
      <c r="S30" s="3"/>
      <c r="T30" s="3"/>
      <c r="U30" s="3"/>
      <c r="V30" s="4"/>
      <c r="X30" s="61" t="s">
        <v>1</v>
      </c>
      <c r="AB30" s="13"/>
      <c r="AC30" s="12">
        <v>0.0</v>
      </c>
      <c r="AD30" s="13"/>
    </row>
    <row r="31">
      <c r="B31" s="58" t="s">
        <v>30</v>
      </c>
      <c r="C31" s="4"/>
      <c r="D31" s="59">
        <v>-1.0</v>
      </c>
      <c r="F31" s="43"/>
      <c r="I31" s="13"/>
      <c r="J31" s="12" t="s">
        <v>1</v>
      </c>
      <c r="M31" s="12" t="str">
        <f t="shared" si="2"/>
        <v/>
      </c>
      <c r="O31" s="13"/>
      <c r="Q31" s="62"/>
      <c r="R31" s="3"/>
      <c r="S31" s="3"/>
      <c r="T31" s="3"/>
      <c r="U31" s="3"/>
      <c r="V31" s="4"/>
      <c r="X31" s="63" t="s">
        <v>1</v>
      </c>
      <c r="Y31" s="8"/>
      <c r="Z31" s="8"/>
      <c r="AA31" s="8"/>
      <c r="AB31" s="8"/>
      <c r="AC31" s="42">
        <v>0.0</v>
      </c>
      <c r="AD31" s="9"/>
    </row>
    <row r="32">
      <c r="B32" s="26" t="str">
        <f>IFS(D31=-1,"-d2",D31=0,0,D31=1,"d2",D31=2,"d4",D31=3,"d6",D31=4,"d8",D31=5,"d10",D31=5,"d12")</f>
        <v>-d2</v>
      </c>
      <c r="D32" s="13"/>
      <c r="F32" s="43"/>
      <c r="I32" s="13"/>
      <c r="J32" s="12" t="s">
        <v>1</v>
      </c>
      <c r="M32" s="12" t="str">
        <f t="shared" si="2"/>
        <v/>
      </c>
      <c r="O32" s="13"/>
    </row>
    <row r="33">
      <c r="B33" s="31"/>
      <c r="C33" s="8"/>
      <c r="D33" s="9"/>
      <c r="F33" s="43"/>
      <c r="I33" s="13"/>
      <c r="J33" s="12" t="s">
        <v>1</v>
      </c>
      <c r="M33" s="12" t="str">
        <f t="shared" si="2"/>
        <v/>
      </c>
      <c r="O33" s="13"/>
      <c r="Q33" s="55" t="s">
        <v>46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4"/>
    </row>
    <row r="34">
      <c r="F34" s="19"/>
      <c r="G34" s="8"/>
      <c r="H34" s="8"/>
      <c r="I34" s="9"/>
      <c r="J34" s="42" t="s">
        <v>1</v>
      </c>
      <c r="K34" s="8"/>
      <c r="L34" s="8"/>
      <c r="M34" s="42" t="str">
        <f t="shared" si="2"/>
        <v/>
      </c>
      <c r="N34" s="8"/>
      <c r="O34" s="9"/>
      <c r="Q34" s="53" t="s">
        <v>31</v>
      </c>
      <c r="R34" s="22"/>
      <c r="S34" s="22"/>
      <c r="T34" s="23"/>
      <c r="U34" s="64" t="s">
        <v>47</v>
      </c>
      <c r="V34" s="53" t="s">
        <v>48</v>
      </c>
      <c r="W34" s="22"/>
      <c r="X34" s="22"/>
      <c r="Y34" s="22"/>
      <c r="Z34" s="22"/>
      <c r="AA34" s="22"/>
      <c r="AB34" s="22"/>
      <c r="AC34" s="22"/>
      <c r="AD34" s="23"/>
    </row>
    <row r="35">
      <c r="B35" s="50"/>
      <c r="C35" s="20" t="s">
        <v>49</v>
      </c>
      <c r="D35" s="4"/>
      <c r="Q35" s="65"/>
      <c r="R35" s="22"/>
      <c r="S35" s="22"/>
      <c r="T35" s="23"/>
      <c r="U35" s="66"/>
      <c r="V35" s="56"/>
      <c r="W35" s="22"/>
      <c r="X35" s="22"/>
      <c r="Y35" s="22"/>
      <c r="Z35" s="22"/>
      <c r="AA35" s="22"/>
      <c r="AB35" s="22"/>
      <c r="AC35" s="22"/>
      <c r="AD35" s="23"/>
    </row>
    <row r="36">
      <c r="B36" s="58" t="s">
        <v>30</v>
      </c>
      <c r="C36" s="4"/>
      <c r="D36" s="59">
        <v>-1.0</v>
      </c>
      <c r="F36" s="55" t="s">
        <v>50</v>
      </c>
      <c r="G36" s="3"/>
      <c r="H36" s="3"/>
      <c r="I36" s="3"/>
      <c r="J36" s="3"/>
      <c r="K36" s="3"/>
      <c r="L36" s="3"/>
      <c r="M36" s="3"/>
      <c r="N36" s="3"/>
      <c r="O36" s="4"/>
      <c r="Q36" s="67"/>
      <c r="T36" s="13"/>
      <c r="U36" s="68"/>
      <c r="V36" s="43"/>
      <c r="AD36" s="13"/>
    </row>
    <row r="37">
      <c r="B37" s="26" t="str">
        <f>IFS(D36=-1,"-d2",D36=0,0,D36=1,"d2",D36=2,"d4",D36=3,"d6",D36=4,"d8",D36=5,"d10",D36=5,"d12")</f>
        <v>-d2</v>
      </c>
      <c r="D37" s="13"/>
      <c r="F37" s="55" t="s">
        <v>31</v>
      </c>
      <c r="G37" s="3"/>
      <c r="H37" s="3"/>
      <c r="I37" s="55" t="s">
        <v>32</v>
      </c>
      <c r="J37" s="3"/>
      <c r="K37" s="4"/>
      <c r="L37" s="53" t="s">
        <v>51</v>
      </c>
      <c r="M37" s="22"/>
      <c r="N37" s="22"/>
      <c r="O37" s="23"/>
      <c r="Q37" s="69"/>
      <c r="T37" s="13"/>
      <c r="U37" s="68"/>
      <c r="V37" s="70"/>
      <c r="AD37" s="13"/>
    </row>
    <row r="38">
      <c r="B38" s="31"/>
      <c r="C38" s="8"/>
      <c r="D38" s="9"/>
      <c r="F38" s="71"/>
      <c r="G38" s="22"/>
      <c r="H38" s="22"/>
      <c r="I38" s="27"/>
      <c r="J38" s="22"/>
      <c r="K38" s="23"/>
      <c r="L38" s="27"/>
      <c r="M38" s="22"/>
      <c r="N38" s="22"/>
      <c r="O38" s="23"/>
      <c r="P38" s="72"/>
      <c r="Q38" s="69"/>
      <c r="T38" s="13"/>
      <c r="U38" s="68"/>
      <c r="V38" s="70"/>
      <c r="AD38" s="13"/>
    </row>
    <row r="39">
      <c r="F39" s="70"/>
      <c r="I39" s="32"/>
      <c r="K39" s="13"/>
      <c r="L39" s="32"/>
      <c r="O39" s="13"/>
      <c r="Q39" s="69"/>
      <c r="T39" s="13"/>
      <c r="U39" s="68"/>
      <c r="V39" s="70"/>
      <c r="AD39" s="13"/>
    </row>
    <row r="40">
      <c r="B40" s="54" t="s">
        <v>52</v>
      </c>
      <c r="C40" s="22"/>
      <c r="D40" s="23"/>
      <c r="F40" s="70"/>
      <c r="I40" s="32"/>
      <c r="K40" s="13"/>
      <c r="L40" s="32"/>
      <c r="O40" s="13"/>
      <c r="Q40" s="69"/>
      <c r="T40" s="13"/>
      <c r="U40" s="68"/>
      <c r="V40" s="70"/>
      <c r="AD40" s="13"/>
    </row>
    <row r="41">
      <c r="B41" s="31"/>
      <c r="C41" s="8"/>
      <c r="D41" s="9"/>
      <c r="F41" s="70"/>
      <c r="I41" s="32"/>
      <c r="K41" s="13"/>
      <c r="L41" s="73"/>
      <c r="O41" s="13"/>
      <c r="Q41" s="69"/>
      <c r="T41" s="13"/>
      <c r="U41" s="68"/>
      <c r="V41" s="70"/>
      <c r="AD41" s="13"/>
    </row>
    <row r="42">
      <c r="B42" s="26">
        <v>5.0</v>
      </c>
      <c r="D42" s="13"/>
      <c r="F42" s="70"/>
      <c r="I42" s="32"/>
      <c r="K42" s="13"/>
      <c r="L42" s="73"/>
      <c r="O42" s="13"/>
      <c r="Q42" s="69"/>
      <c r="T42" s="13"/>
      <c r="U42" s="68"/>
      <c r="V42" s="70"/>
      <c r="AD42" s="13"/>
    </row>
    <row r="43">
      <c r="B43" s="31"/>
      <c r="C43" s="8"/>
      <c r="D43" s="9"/>
      <c r="F43" s="74"/>
      <c r="G43" s="8"/>
      <c r="H43" s="8"/>
      <c r="I43" s="41"/>
      <c r="J43" s="8"/>
      <c r="K43" s="9"/>
      <c r="L43" s="75"/>
      <c r="M43" s="8"/>
      <c r="N43" s="8"/>
      <c r="O43" s="9"/>
      <c r="Q43" s="76"/>
      <c r="R43" s="8"/>
      <c r="S43" s="8"/>
      <c r="T43" s="9"/>
      <c r="U43" s="77"/>
      <c r="V43" s="74"/>
      <c r="W43" s="8"/>
      <c r="X43" s="8"/>
      <c r="Y43" s="8"/>
      <c r="Z43" s="8"/>
      <c r="AA43" s="8"/>
      <c r="AB43" s="8"/>
      <c r="AC43" s="8"/>
      <c r="AD43" s="9"/>
    </row>
    <row r="45">
      <c r="B45" s="55" t="s">
        <v>53</v>
      </c>
      <c r="C45" s="3"/>
      <c r="D45" s="3"/>
      <c r="E45" s="3"/>
      <c r="F45" s="3"/>
      <c r="G45" s="4"/>
      <c r="I45" s="24" t="s">
        <v>54</v>
      </c>
      <c r="J45" s="4"/>
      <c r="K45" s="24" t="s">
        <v>55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</row>
    <row r="46">
      <c r="B46" s="78" t="s">
        <v>56</v>
      </c>
      <c r="C46" s="3"/>
      <c r="D46" s="4"/>
      <c r="E46" s="78" t="s">
        <v>57</v>
      </c>
      <c r="F46" s="3"/>
      <c r="G46" s="4"/>
      <c r="I46" s="24">
        <v>1.0</v>
      </c>
      <c r="J46" s="4"/>
      <c r="K46" s="7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</row>
    <row r="47">
      <c r="B47" s="26">
        <f>2+D16</f>
        <v>1</v>
      </c>
      <c r="D47" s="13"/>
      <c r="E47" s="26">
        <f>1+ROUNDDOWN(D16/2,0)</f>
        <v>1</v>
      </c>
      <c r="G47" s="13"/>
      <c r="I47" s="24">
        <v>2.0</v>
      </c>
      <c r="J47" s="4"/>
      <c r="K47" s="79"/>
      <c r="L47" s="3"/>
      <c r="M47" s="3"/>
      <c r="N47" s="3"/>
      <c r="O47" s="3"/>
      <c r="P47" s="3"/>
      <c r="Q47" s="3"/>
      <c r="R47" s="3"/>
      <c r="S47" s="3"/>
      <c r="T47" s="4"/>
      <c r="U47" s="79"/>
      <c r="V47" s="3"/>
      <c r="W47" s="3"/>
      <c r="X47" s="3"/>
      <c r="Y47" s="3"/>
      <c r="Z47" s="3"/>
      <c r="AA47" s="3"/>
      <c r="AB47" s="3"/>
      <c r="AC47" s="3"/>
      <c r="AD47" s="4"/>
    </row>
    <row r="48">
      <c r="B48" s="31"/>
      <c r="C48" s="8"/>
      <c r="D48" s="9"/>
      <c r="E48" s="31"/>
      <c r="F48" s="8"/>
      <c r="G48" s="9"/>
      <c r="I48" s="24">
        <v>3.0</v>
      </c>
      <c r="J48" s="4"/>
      <c r="K48" s="79"/>
      <c r="L48" s="3"/>
      <c r="M48" s="3"/>
      <c r="N48" s="3"/>
      <c r="O48" s="3"/>
      <c r="P48" s="3"/>
      <c r="Q48" s="4"/>
      <c r="R48" s="79"/>
      <c r="S48" s="3"/>
      <c r="T48" s="3"/>
      <c r="U48" s="3"/>
      <c r="V48" s="3"/>
      <c r="W48" s="4"/>
      <c r="X48" s="79"/>
      <c r="Y48" s="3"/>
      <c r="Z48" s="3"/>
      <c r="AA48" s="3"/>
      <c r="AB48" s="3"/>
      <c r="AC48" s="3"/>
      <c r="AD48" s="4"/>
    </row>
    <row r="49">
      <c r="I49" s="24">
        <v>4.0</v>
      </c>
      <c r="J49" s="4"/>
      <c r="K49" s="79"/>
      <c r="L49" s="3"/>
      <c r="M49" s="3"/>
      <c r="N49" s="3"/>
      <c r="O49" s="4"/>
      <c r="P49" s="79"/>
      <c r="Q49" s="3"/>
      <c r="R49" s="3"/>
      <c r="S49" s="3"/>
      <c r="T49" s="4"/>
      <c r="U49" s="79"/>
      <c r="V49" s="3"/>
      <c r="W49" s="3"/>
      <c r="X49" s="3"/>
      <c r="Y49" s="4"/>
      <c r="Z49" s="79"/>
      <c r="AA49" s="3"/>
      <c r="AB49" s="3"/>
      <c r="AC49" s="3"/>
      <c r="AD49" s="4"/>
    </row>
    <row r="50">
      <c r="B50" s="55" t="s">
        <v>58</v>
      </c>
      <c r="C50" s="3"/>
      <c r="D50" s="3"/>
      <c r="E50" s="3"/>
      <c r="F50" s="3"/>
      <c r="G50" s="4"/>
      <c r="I50" s="24">
        <v>5.0</v>
      </c>
      <c r="J50" s="4"/>
      <c r="K50" s="79"/>
      <c r="L50" s="3"/>
      <c r="M50" s="3"/>
      <c r="N50" s="4"/>
      <c r="O50" s="79"/>
      <c r="P50" s="3"/>
      <c r="Q50" s="3"/>
      <c r="R50" s="4"/>
      <c r="S50" s="79"/>
      <c r="T50" s="3"/>
      <c r="U50" s="3"/>
      <c r="V50" s="4"/>
      <c r="W50" s="79"/>
      <c r="X50" s="3"/>
      <c r="Y50" s="3"/>
      <c r="Z50" s="4"/>
      <c r="AA50" s="79"/>
      <c r="AB50" s="3"/>
      <c r="AC50" s="3"/>
      <c r="AD50" s="4"/>
    </row>
    <row r="51">
      <c r="B51" s="71"/>
      <c r="C51" s="22"/>
      <c r="D51" s="22"/>
      <c r="E51" s="22"/>
      <c r="F51" s="22"/>
      <c r="G51" s="23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</row>
    <row r="52">
      <c r="B52" s="70"/>
      <c r="G52" s="13"/>
      <c r="I52" s="24" t="s">
        <v>54</v>
      </c>
      <c r="J52" s="4"/>
      <c r="K52" s="24" t="s">
        <v>59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</row>
    <row r="53">
      <c r="B53" s="70"/>
      <c r="G53" s="13"/>
      <c r="I53" s="24">
        <v>1.0</v>
      </c>
      <c r="J53" s="4"/>
      <c r="K53" s="81" t="s">
        <v>60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</row>
    <row r="54">
      <c r="B54" s="70"/>
      <c r="G54" s="13"/>
      <c r="I54" s="24">
        <v>2.0</v>
      </c>
      <c r="J54" s="4"/>
      <c r="K54" s="81" t="s">
        <v>61</v>
      </c>
      <c r="L54" s="3"/>
      <c r="M54" s="3"/>
      <c r="N54" s="3"/>
      <c r="O54" s="3"/>
      <c r="P54" s="3"/>
      <c r="Q54" s="3"/>
      <c r="R54" s="3"/>
      <c r="S54" s="3"/>
      <c r="T54" s="4"/>
      <c r="U54" s="81" t="s">
        <v>61</v>
      </c>
      <c r="V54" s="3"/>
      <c r="W54" s="3"/>
      <c r="X54" s="3"/>
      <c r="Y54" s="3"/>
      <c r="Z54" s="3"/>
      <c r="AA54" s="3"/>
      <c r="AB54" s="3"/>
      <c r="AC54" s="3"/>
      <c r="AD54" s="4"/>
    </row>
    <row r="55">
      <c r="B55" s="70"/>
      <c r="G55" s="13"/>
      <c r="I55" s="24">
        <v>3.0</v>
      </c>
      <c r="J55" s="4"/>
      <c r="K55" s="81" t="s">
        <v>62</v>
      </c>
      <c r="L55" s="3"/>
      <c r="M55" s="3"/>
      <c r="N55" s="3"/>
      <c r="O55" s="3"/>
      <c r="P55" s="3"/>
      <c r="Q55" s="4"/>
      <c r="R55" s="81" t="s">
        <v>62</v>
      </c>
      <c r="S55" s="3"/>
      <c r="T55" s="3"/>
      <c r="U55" s="3"/>
      <c r="V55" s="3"/>
      <c r="W55" s="4"/>
      <c r="X55" s="81" t="s">
        <v>62</v>
      </c>
      <c r="Y55" s="3"/>
      <c r="Z55" s="3"/>
      <c r="AA55" s="3"/>
      <c r="AB55" s="3"/>
      <c r="AC55" s="3"/>
      <c r="AD55" s="4"/>
    </row>
    <row r="56">
      <c r="B56" s="70"/>
      <c r="G56" s="13"/>
      <c r="I56" s="24">
        <v>4.0</v>
      </c>
      <c r="J56" s="4"/>
      <c r="K56" s="81" t="s">
        <v>63</v>
      </c>
      <c r="L56" s="3"/>
      <c r="M56" s="3"/>
      <c r="N56" s="3"/>
      <c r="O56" s="4"/>
      <c r="P56" s="81" t="s">
        <v>63</v>
      </c>
      <c r="Q56" s="3"/>
      <c r="R56" s="3"/>
      <c r="S56" s="3"/>
      <c r="T56" s="4"/>
      <c r="U56" s="81" t="s">
        <v>63</v>
      </c>
      <c r="V56" s="3"/>
      <c r="W56" s="3"/>
      <c r="X56" s="3"/>
      <c r="Y56" s="4"/>
      <c r="Z56" s="81" t="s">
        <v>63</v>
      </c>
      <c r="AA56" s="3"/>
      <c r="AB56" s="3"/>
      <c r="AC56" s="3"/>
      <c r="AD56" s="4"/>
    </row>
    <row r="57">
      <c r="B57" s="74"/>
      <c r="C57" s="8"/>
      <c r="D57" s="8"/>
      <c r="E57" s="8"/>
      <c r="F57" s="8"/>
      <c r="G57" s="9"/>
      <c r="I57" s="24">
        <v>5.0</v>
      </c>
      <c r="J57" s="4"/>
      <c r="K57" s="81" t="s">
        <v>64</v>
      </c>
      <c r="L57" s="3"/>
      <c r="M57" s="3"/>
      <c r="N57" s="4"/>
      <c r="O57" s="81" t="s">
        <v>64</v>
      </c>
      <c r="P57" s="3"/>
      <c r="Q57" s="3"/>
      <c r="R57" s="4"/>
      <c r="S57" s="81" t="s">
        <v>64</v>
      </c>
      <c r="T57" s="3"/>
      <c r="U57" s="3"/>
      <c r="V57" s="4"/>
      <c r="W57" s="81" t="s">
        <v>64</v>
      </c>
      <c r="X57" s="3"/>
      <c r="Y57" s="3"/>
      <c r="Z57" s="4"/>
      <c r="AA57" s="81" t="s">
        <v>64</v>
      </c>
      <c r="AB57" s="3"/>
      <c r="AC57" s="3"/>
      <c r="AD57" s="4"/>
    </row>
    <row r="59">
      <c r="I59" s="82" t="s">
        <v>65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3"/>
    </row>
    <row r="60">
      <c r="I60" s="24" t="s">
        <v>66</v>
      </c>
      <c r="J60" s="3"/>
      <c r="K60" s="3"/>
      <c r="L60" s="3"/>
      <c r="M60" s="3"/>
      <c r="N60" s="3"/>
      <c r="O60" s="3"/>
      <c r="P60" s="3"/>
      <c r="Q60" s="4"/>
      <c r="R60" s="24" t="s">
        <v>67</v>
      </c>
      <c r="S60" s="4"/>
      <c r="T60" s="24" t="s">
        <v>66</v>
      </c>
      <c r="U60" s="3"/>
      <c r="V60" s="3"/>
      <c r="W60" s="3"/>
      <c r="X60" s="3"/>
      <c r="Y60" s="3"/>
      <c r="Z60" s="3"/>
      <c r="AA60" s="3"/>
      <c r="AB60" s="4"/>
      <c r="AC60" s="24" t="s">
        <v>67</v>
      </c>
      <c r="AD60" s="4"/>
    </row>
    <row r="61">
      <c r="I61" s="83"/>
      <c r="R61" s="83"/>
      <c r="S61" s="13"/>
      <c r="T61" s="83"/>
      <c r="AC61" s="83"/>
      <c r="AD61" s="13"/>
    </row>
    <row r="62">
      <c r="I62" s="83"/>
      <c r="R62" s="83"/>
      <c r="S62" s="13"/>
      <c r="T62" s="83"/>
      <c r="AC62" s="83"/>
      <c r="AD62" s="13"/>
    </row>
    <row r="63">
      <c r="I63" s="83"/>
      <c r="R63" s="83"/>
      <c r="S63" s="13"/>
      <c r="T63" s="83"/>
      <c r="AC63" s="83"/>
      <c r="AD63" s="13"/>
    </row>
    <row r="64">
      <c r="I64" s="83"/>
      <c r="R64" s="83"/>
      <c r="S64" s="13"/>
      <c r="T64" s="83"/>
      <c r="AC64" s="83"/>
      <c r="AD64" s="13"/>
    </row>
    <row r="65">
      <c r="C65" s="84"/>
      <c r="I65" s="83"/>
      <c r="R65" s="83"/>
      <c r="S65" s="13"/>
      <c r="T65" s="83"/>
      <c r="AC65" s="83"/>
      <c r="AD65" s="13"/>
    </row>
    <row r="66">
      <c r="C66" s="84"/>
      <c r="I66" s="83"/>
      <c r="R66" s="83"/>
      <c r="S66" s="13"/>
      <c r="T66" s="83"/>
      <c r="AC66" s="83"/>
      <c r="AD66" s="13"/>
    </row>
    <row r="67">
      <c r="C67" s="84"/>
      <c r="I67" s="83"/>
      <c r="R67" s="83"/>
      <c r="S67" s="13"/>
      <c r="T67" s="83"/>
      <c r="AC67" s="83"/>
      <c r="AD67" s="13"/>
    </row>
    <row r="68">
      <c r="I68" s="83"/>
      <c r="R68" s="83"/>
      <c r="S68" s="13"/>
      <c r="T68" s="83"/>
      <c r="AC68" s="83"/>
      <c r="AD68" s="13"/>
    </row>
    <row r="69">
      <c r="I69" s="83"/>
      <c r="R69" s="83"/>
      <c r="S69" s="13"/>
      <c r="T69" s="83"/>
      <c r="AC69" s="83"/>
      <c r="AD69" s="13"/>
    </row>
    <row r="70">
      <c r="I70" s="83"/>
      <c r="R70" s="83"/>
      <c r="S70" s="13"/>
      <c r="T70" s="83"/>
      <c r="AC70" s="83"/>
      <c r="AD70" s="13"/>
    </row>
    <row r="71">
      <c r="I71" s="85"/>
      <c r="J71" s="8"/>
      <c r="K71" s="8"/>
      <c r="L71" s="8"/>
      <c r="M71" s="8"/>
      <c r="N71" s="8"/>
      <c r="O71" s="8"/>
      <c r="P71" s="8"/>
      <c r="Q71" s="8"/>
      <c r="R71" s="85"/>
      <c r="S71" s="9"/>
      <c r="T71" s="85"/>
      <c r="U71" s="8"/>
      <c r="V71" s="8"/>
      <c r="W71" s="8"/>
      <c r="X71" s="8"/>
      <c r="Y71" s="8"/>
      <c r="Z71" s="8"/>
      <c r="AA71" s="8"/>
      <c r="AB71" s="8"/>
      <c r="AC71" s="85"/>
      <c r="AD71" s="9"/>
    </row>
  </sheetData>
  <mergeCells count="330">
    <mergeCell ref="T61:AB61"/>
    <mergeCell ref="AC61:AD61"/>
    <mergeCell ref="I59:AD59"/>
    <mergeCell ref="I60:Q60"/>
    <mergeCell ref="R60:S60"/>
    <mergeCell ref="T60:AB60"/>
    <mergeCell ref="AC60:AD60"/>
    <mergeCell ref="I61:Q61"/>
    <mergeCell ref="R61:S61"/>
    <mergeCell ref="I62:Q62"/>
    <mergeCell ref="R62:S62"/>
    <mergeCell ref="T62:AB62"/>
    <mergeCell ref="AC62:AD62"/>
    <mergeCell ref="R63:S63"/>
    <mergeCell ref="T63:AB63"/>
    <mergeCell ref="AC63:AD63"/>
    <mergeCell ref="I63:Q63"/>
    <mergeCell ref="I64:Q64"/>
    <mergeCell ref="R64:S64"/>
    <mergeCell ref="T64:AB64"/>
    <mergeCell ref="AC64:AD64"/>
    <mergeCell ref="I65:Q65"/>
    <mergeCell ref="R65:S65"/>
    <mergeCell ref="I66:Q66"/>
    <mergeCell ref="R66:S66"/>
    <mergeCell ref="T66:AB66"/>
    <mergeCell ref="AC66:AD66"/>
    <mergeCell ref="R67:S67"/>
    <mergeCell ref="T67:AB67"/>
    <mergeCell ref="AC67:AD67"/>
    <mergeCell ref="T69:AB69"/>
    <mergeCell ref="AC69:AD69"/>
    <mergeCell ref="I70:Q70"/>
    <mergeCell ref="R70:S70"/>
    <mergeCell ref="T70:AB70"/>
    <mergeCell ref="AC70:AD70"/>
    <mergeCell ref="I71:Q71"/>
    <mergeCell ref="R71:S71"/>
    <mergeCell ref="T71:AB71"/>
    <mergeCell ref="AC71:AD71"/>
    <mergeCell ref="I67:Q67"/>
    <mergeCell ref="I68:Q68"/>
    <mergeCell ref="R68:S68"/>
    <mergeCell ref="T68:AB68"/>
    <mergeCell ref="AC68:AD68"/>
    <mergeCell ref="I69:Q69"/>
    <mergeCell ref="R69:S69"/>
    <mergeCell ref="Q36:T36"/>
    <mergeCell ref="V36:AD36"/>
    <mergeCell ref="Q37:T37"/>
    <mergeCell ref="V37:AD37"/>
    <mergeCell ref="Q38:T38"/>
    <mergeCell ref="V38:AD38"/>
    <mergeCell ref="V39:AD39"/>
    <mergeCell ref="V40:AD40"/>
    <mergeCell ref="V41:AD41"/>
    <mergeCell ref="K45:AD45"/>
    <mergeCell ref="K46:AD46"/>
    <mergeCell ref="K47:T47"/>
    <mergeCell ref="U47:AD47"/>
    <mergeCell ref="K48:Q48"/>
    <mergeCell ref="W50:Z50"/>
    <mergeCell ref="AA50:AD50"/>
    <mergeCell ref="R48:W48"/>
    <mergeCell ref="X48:AD48"/>
    <mergeCell ref="P49:T49"/>
    <mergeCell ref="U49:Y49"/>
    <mergeCell ref="Z49:AD49"/>
    <mergeCell ref="O50:R50"/>
    <mergeCell ref="S50:V50"/>
    <mergeCell ref="K52:AD52"/>
    <mergeCell ref="K53:AD53"/>
    <mergeCell ref="K54:T54"/>
    <mergeCell ref="U54:AD54"/>
    <mergeCell ref="K55:Q55"/>
    <mergeCell ref="R55:W55"/>
    <mergeCell ref="X55:AD55"/>
    <mergeCell ref="P56:T56"/>
    <mergeCell ref="U56:Y56"/>
    <mergeCell ref="Z56:AD56"/>
    <mergeCell ref="O57:R57"/>
    <mergeCell ref="S57:V57"/>
    <mergeCell ref="W57:Z57"/>
    <mergeCell ref="AA57:AD57"/>
    <mergeCell ref="T65:AB65"/>
    <mergeCell ref="AC65:AD65"/>
    <mergeCell ref="U3:Y3"/>
    <mergeCell ref="Z3:AD3"/>
    <mergeCell ref="B2:F2"/>
    <mergeCell ref="G2:N2"/>
    <mergeCell ref="P2:AD2"/>
    <mergeCell ref="B3:D3"/>
    <mergeCell ref="E3:I3"/>
    <mergeCell ref="J3:N3"/>
    <mergeCell ref="P3:T3"/>
    <mergeCell ref="T6:V6"/>
    <mergeCell ref="X6:Z6"/>
    <mergeCell ref="B4:C4"/>
    <mergeCell ref="D4:I4"/>
    <mergeCell ref="P4:T4"/>
    <mergeCell ref="U4:Y4"/>
    <mergeCell ref="Z4:AD4"/>
    <mergeCell ref="B6:D6"/>
    <mergeCell ref="F6:I6"/>
    <mergeCell ref="AB6:AD6"/>
    <mergeCell ref="P7:R8"/>
    <mergeCell ref="T7:V8"/>
    <mergeCell ref="X7:Z8"/>
    <mergeCell ref="AB7:AD8"/>
    <mergeCell ref="Q10:AD10"/>
    <mergeCell ref="K6:N6"/>
    <mergeCell ref="P6:R6"/>
    <mergeCell ref="B7:D8"/>
    <mergeCell ref="F7:G7"/>
    <mergeCell ref="H7:I7"/>
    <mergeCell ref="K7:L8"/>
    <mergeCell ref="M7:N8"/>
    <mergeCell ref="X14:AB14"/>
    <mergeCell ref="AC14:AD14"/>
    <mergeCell ref="F25:I25"/>
    <mergeCell ref="F26:I26"/>
    <mergeCell ref="F20:I20"/>
    <mergeCell ref="F21:I21"/>
    <mergeCell ref="B22:D23"/>
    <mergeCell ref="F22:I22"/>
    <mergeCell ref="F24:I24"/>
    <mergeCell ref="C25:D25"/>
    <mergeCell ref="B26:C26"/>
    <mergeCell ref="B31:C31"/>
    <mergeCell ref="B32:D33"/>
    <mergeCell ref="C35:D35"/>
    <mergeCell ref="B36:C36"/>
    <mergeCell ref="B37:D38"/>
    <mergeCell ref="B40:D41"/>
    <mergeCell ref="B42:D43"/>
    <mergeCell ref="B27:D28"/>
    <mergeCell ref="F27:I27"/>
    <mergeCell ref="F28:I28"/>
    <mergeCell ref="F29:I29"/>
    <mergeCell ref="C30:D30"/>
    <mergeCell ref="F30:I30"/>
    <mergeCell ref="F31:I31"/>
    <mergeCell ref="F32:I32"/>
    <mergeCell ref="F33:I33"/>
    <mergeCell ref="F34:I34"/>
    <mergeCell ref="F35:I35"/>
    <mergeCell ref="F37:H37"/>
    <mergeCell ref="F38:H38"/>
    <mergeCell ref="F39:H39"/>
    <mergeCell ref="F40:H40"/>
    <mergeCell ref="F41:H41"/>
    <mergeCell ref="F42:H42"/>
    <mergeCell ref="F43:H43"/>
    <mergeCell ref="B45:G45"/>
    <mergeCell ref="B46:D46"/>
    <mergeCell ref="E46:G46"/>
    <mergeCell ref="B55:G55"/>
    <mergeCell ref="B56:G56"/>
    <mergeCell ref="B57:G57"/>
    <mergeCell ref="B47:D48"/>
    <mergeCell ref="E47:G48"/>
    <mergeCell ref="B50:G50"/>
    <mergeCell ref="B51:G51"/>
    <mergeCell ref="B52:G52"/>
    <mergeCell ref="B53:G53"/>
    <mergeCell ref="B54:G54"/>
    <mergeCell ref="J25:L25"/>
    <mergeCell ref="M25:O25"/>
    <mergeCell ref="J26:L26"/>
    <mergeCell ref="M26:O26"/>
    <mergeCell ref="J27:L27"/>
    <mergeCell ref="M27:O27"/>
    <mergeCell ref="M28:O28"/>
    <mergeCell ref="J28:L28"/>
    <mergeCell ref="J29:L29"/>
    <mergeCell ref="J30:L30"/>
    <mergeCell ref="J31:L31"/>
    <mergeCell ref="M31:O31"/>
    <mergeCell ref="J32:L32"/>
    <mergeCell ref="M32:O32"/>
    <mergeCell ref="J33:L33"/>
    <mergeCell ref="M33:O33"/>
    <mergeCell ref="J34:L34"/>
    <mergeCell ref="M34:O34"/>
    <mergeCell ref="J35:L35"/>
    <mergeCell ref="M35:O35"/>
    <mergeCell ref="F36:O36"/>
    <mergeCell ref="L41:O41"/>
    <mergeCell ref="L42:O42"/>
    <mergeCell ref="L43:O43"/>
    <mergeCell ref="I37:K37"/>
    <mergeCell ref="L37:O37"/>
    <mergeCell ref="I38:K38"/>
    <mergeCell ref="L38:O38"/>
    <mergeCell ref="I39:K39"/>
    <mergeCell ref="L39:O39"/>
    <mergeCell ref="L40:O40"/>
    <mergeCell ref="I40:K40"/>
    <mergeCell ref="I41:K41"/>
    <mergeCell ref="I42:K42"/>
    <mergeCell ref="I43:K43"/>
    <mergeCell ref="I45:J45"/>
    <mergeCell ref="I46:J46"/>
    <mergeCell ref="I47:J47"/>
    <mergeCell ref="I54:J54"/>
    <mergeCell ref="I55:J55"/>
    <mergeCell ref="I56:J56"/>
    <mergeCell ref="K56:O56"/>
    <mergeCell ref="I57:J57"/>
    <mergeCell ref="K57:N57"/>
    <mergeCell ref="I48:J48"/>
    <mergeCell ref="I49:J49"/>
    <mergeCell ref="K49:O49"/>
    <mergeCell ref="I50:J50"/>
    <mergeCell ref="K50:N50"/>
    <mergeCell ref="I52:J52"/>
    <mergeCell ref="I53:J53"/>
    <mergeCell ref="F8:G8"/>
    <mergeCell ref="H8:I8"/>
    <mergeCell ref="F9:G9"/>
    <mergeCell ref="H9:I9"/>
    <mergeCell ref="K9:L9"/>
    <mergeCell ref="M9:N9"/>
    <mergeCell ref="B10:D10"/>
    <mergeCell ref="F10:G10"/>
    <mergeCell ref="H10:I10"/>
    <mergeCell ref="K10:L11"/>
    <mergeCell ref="M10:N11"/>
    <mergeCell ref="B11:D11"/>
    <mergeCell ref="F11:G11"/>
    <mergeCell ref="H11:I11"/>
    <mergeCell ref="B12:D13"/>
    <mergeCell ref="F13:J13"/>
    <mergeCell ref="L13:M14"/>
    <mergeCell ref="N13:O14"/>
    <mergeCell ref="F14:J14"/>
    <mergeCell ref="C15:D15"/>
    <mergeCell ref="B16:C16"/>
    <mergeCell ref="M16:O16"/>
    <mergeCell ref="F16:I16"/>
    <mergeCell ref="J16:L16"/>
    <mergeCell ref="B17:D18"/>
    <mergeCell ref="F17:O17"/>
    <mergeCell ref="F18:I18"/>
    <mergeCell ref="J18:L18"/>
    <mergeCell ref="M18:O18"/>
    <mergeCell ref="F19:I19"/>
    <mergeCell ref="J19:L19"/>
    <mergeCell ref="M19:O19"/>
    <mergeCell ref="C20:D20"/>
    <mergeCell ref="J20:L20"/>
    <mergeCell ref="M20:O20"/>
    <mergeCell ref="B21:C21"/>
    <mergeCell ref="J21:L21"/>
    <mergeCell ref="M21:O21"/>
    <mergeCell ref="J22:L22"/>
    <mergeCell ref="M22:O22"/>
    <mergeCell ref="F23:O23"/>
    <mergeCell ref="J24:L24"/>
    <mergeCell ref="M24:O24"/>
    <mergeCell ref="M29:O29"/>
    <mergeCell ref="M30:O30"/>
    <mergeCell ref="X30:AB30"/>
    <mergeCell ref="X31:AB31"/>
    <mergeCell ref="AC31:AD31"/>
    <mergeCell ref="X27:AB27"/>
    <mergeCell ref="AC27:AD27"/>
    <mergeCell ref="X28:AB28"/>
    <mergeCell ref="AC28:AD28"/>
    <mergeCell ref="X29:AB29"/>
    <mergeCell ref="AC29:AD29"/>
    <mergeCell ref="AC30:AD30"/>
    <mergeCell ref="V34:AD34"/>
    <mergeCell ref="V35:AD35"/>
    <mergeCell ref="Q28:V28"/>
    <mergeCell ref="Q29:V29"/>
    <mergeCell ref="Q30:V30"/>
    <mergeCell ref="Q31:V31"/>
    <mergeCell ref="Q33:AD33"/>
    <mergeCell ref="Q34:T34"/>
    <mergeCell ref="Q35:T35"/>
    <mergeCell ref="Q11:U11"/>
    <mergeCell ref="V11:W11"/>
    <mergeCell ref="X11:AB11"/>
    <mergeCell ref="AC11:AD11"/>
    <mergeCell ref="V12:W12"/>
    <mergeCell ref="X12:AB12"/>
    <mergeCell ref="AC12:AD12"/>
    <mergeCell ref="Q12:U12"/>
    <mergeCell ref="Q13:U13"/>
    <mergeCell ref="V13:W13"/>
    <mergeCell ref="X13:AB13"/>
    <mergeCell ref="AC13:AD13"/>
    <mergeCell ref="Q14:U14"/>
    <mergeCell ref="V14:W14"/>
    <mergeCell ref="Q16:T17"/>
    <mergeCell ref="V16:AD16"/>
    <mergeCell ref="V17:Z17"/>
    <mergeCell ref="AA17:AD17"/>
    <mergeCell ref="Q18:T18"/>
    <mergeCell ref="AA18:AD18"/>
    <mergeCell ref="AA19:AD19"/>
    <mergeCell ref="V18:Z18"/>
    <mergeCell ref="V19:Z19"/>
    <mergeCell ref="V20:Z20"/>
    <mergeCell ref="AA20:AD20"/>
    <mergeCell ref="V21:Z21"/>
    <mergeCell ref="AA21:AD21"/>
    <mergeCell ref="AC23:AD23"/>
    <mergeCell ref="X23:AB23"/>
    <mergeCell ref="X24:AB24"/>
    <mergeCell ref="AC24:AD24"/>
    <mergeCell ref="X25:AB25"/>
    <mergeCell ref="AC25:AD25"/>
    <mergeCell ref="X26:AB26"/>
    <mergeCell ref="AC26:AD26"/>
    <mergeCell ref="Q19:T19"/>
    <mergeCell ref="Q20:T20"/>
    <mergeCell ref="Q21:T21"/>
    <mergeCell ref="Q23:V23"/>
    <mergeCell ref="Q24:V24"/>
    <mergeCell ref="Q26:V26"/>
    <mergeCell ref="Q27:V27"/>
    <mergeCell ref="Q39:T39"/>
    <mergeCell ref="Q40:T40"/>
    <mergeCell ref="Q41:T41"/>
    <mergeCell ref="Q42:T42"/>
    <mergeCell ref="V42:AD42"/>
    <mergeCell ref="Q43:T43"/>
    <mergeCell ref="V43:AD43"/>
  </mergeCells>
  <dataValidations>
    <dataValidation type="list" allowBlank="1" showErrorMessage="1" sqref="D4">
      <formula1>"Arcanist,Berserker,Champion,Expert,Gladiator,Incarnate,Luminary,Thaumaturge,Troubadour"</formula1>
    </dataValidation>
    <dataValidation type="list" allowBlank="1" showErrorMessage="1" sqref="Q24">
      <formula1>"None,Light,Medium,Heavy,Light &amp; Medium,Medium &amp; Heavy,All"</formula1>
    </dataValidation>
    <dataValidation type="list" allowBlank="1" showErrorMessage="1" sqref="X24:X31">
      <formula1>"-,Blinded,Burning,Deafened,Dulled,Exhausted,Frozen,Lethargic,Morphing,Muddled,Numbed,Prone,Sickened,Slowed,Stunned"</formula1>
    </dataValidation>
    <dataValidation type="list" allowBlank="1" showErrorMessage="1" sqref="J18:J22 J24:J34">
      <formula1>"-,d4,d6,d8,d10,d12"</formula1>
    </dataValidation>
    <dataValidation type="list" allowBlank="1" showErrorMessage="1" sqref="Z4">
      <formula1>"Apathy,Empathy"</formula1>
    </dataValidation>
    <dataValidation type="list" allowBlank="1" showErrorMessage="1" sqref="AA17:AA21">
      <formula1>"-,Weak,Firm,Strong"</formula1>
    </dataValidation>
    <dataValidation type="list" allowBlank="1" showErrorMessage="1" sqref="Q11:Q14 X11:X14">
      <formula1>"-,Crushing,Piercing,Slashing,Arctic,Caustic,Cosmic,Divine,Galvanic,Infernal,Profane,Psychic,Somatic,Sonic,Thermic"</formula1>
    </dataValidation>
    <dataValidation type="list" allowBlank="1" showErrorMessage="1" sqref="E3">
      <formula1>"Cogitani,Corpug,Daxan,Human,Mundalf,Ori,Praedan,Soli,Taruton,Ulu"</formula1>
    </dataValidation>
    <dataValidation type="list" allowBlank="1" showErrorMessage="1" sqref="U4">
      <formula1>"Reason,Instinct"</formula1>
    </dataValidation>
    <dataValidation type="list" allowBlank="1" showErrorMessage="1" sqref="P4">
      <formula1>"Patience,Action"</formula1>
    </dataValidation>
    <dataValidation type="list" allowBlank="1" showErrorMessage="1" sqref="V17:V21">
      <formula1>"-,Flame,Frost,Pneuma,Soma,Mordant,Velvet,Lunar,Temporal,Infernal,Platinum,Void"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3.0"/>
  </cols>
  <sheetData>
    <row r="1">
      <c r="Q1" s="1"/>
    </row>
    <row r="2">
      <c r="B2" s="86" t="s">
        <v>68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</row>
    <row r="3">
      <c r="B3" s="3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4">
      <c r="B4" s="55" t="s">
        <v>31</v>
      </c>
      <c r="C4" s="3"/>
      <c r="D4" s="3"/>
      <c r="E4" s="3"/>
      <c r="F4" s="3"/>
      <c r="G4" s="3"/>
      <c r="H4" s="3"/>
      <c r="I4" s="3"/>
      <c r="J4" s="3"/>
      <c r="K4" s="55" t="s">
        <v>69</v>
      </c>
      <c r="L4" s="3"/>
      <c r="M4" s="3"/>
      <c r="N4" s="3"/>
      <c r="O4" s="3"/>
      <c r="P4" s="3"/>
      <c r="Q4" s="4"/>
      <c r="R4" s="55" t="s">
        <v>70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4"/>
    </row>
    <row r="5">
      <c r="B5" s="55" t="s">
        <v>71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4"/>
    </row>
    <row r="7">
      <c r="B7" s="87" t="s">
        <v>72</v>
      </c>
      <c r="C7" s="3"/>
      <c r="D7" s="3"/>
      <c r="E7" s="3"/>
      <c r="F7" s="3"/>
      <c r="G7" s="3"/>
      <c r="H7" s="3"/>
      <c r="I7" s="3"/>
      <c r="J7" s="4"/>
      <c r="K7" s="88" t="s">
        <v>73</v>
      </c>
      <c r="L7" s="3"/>
      <c r="M7" s="3"/>
      <c r="N7" s="3"/>
      <c r="O7" s="3"/>
      <c r="P7" s="3"/>
      <c r="Q7" s="3"/>
      <c r="R7" s="89" t="s">
        <v>74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</row>
    <row r="8">
      <c r="B8" s="90" t="s">
        <v>75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/>
    </row>
    <row r="10">
      <c r="B10" s="87" t="s">
        <v>72</v>
      </c>
      <c r="C10" s="3"/>
      <c r="D10" s="3"/>
      <c r="E10" s="3"/>
      <c r="F10" s="3"/>
      <c r="G10" s="3"/>
      <c r="H10" s="3"/>
      <c r="I10" s="3"/>
      <c r="J10" s="4"/>
      <c r="K10" s="88" t="s">
        <v>73</v>
      </c>
      <c r="L10" s="3"/>
      <c r="M10" s="3"/>
      <c r="N10" s="3"/>
      <c r="O10" s="3"/>
      <c r="P10" s="3"/>
      <c r="Q10" s="3"/>
      <c r="R10" s="89" t="s">
        <v>74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4"/>
    </row>
    <row r="11">
      <c r="B11" s="90" t="s">
        <v>75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4"/>
    </row>
    <row r="13">
      <c r="B13" s="87" t="s">
        <v>72</v>
      </c>
      <c r="C13" s="3"/>
      <c r="D13" s="3"/>
      <c r="E13" s="3"/>
      <c r="F13" s="3"/>
      <c r="G13" s="3"/>
      <c r="H13" s="3"/>
      <c r="I13" s="3"/>
      <c r="J13" s="4"/>
      <c r="K13" s="88" t="s">
        <v>73</v>
      </c>
      <c r="L13" s="3"/>
      <c r="M13" s="3"/>
      <c r="N13" s="3"/>
      <c r="O13" s="3"/>
      <c r="P13" s="3"/>
      <c r="Q13" s="3"/>
      <c r="R13" s="89" t="s">
        <v>74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/>
    </row>
    <row r="14">
      <c r="B14" s="90" t="s">
        <v>75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/>
    </row>
    <row r="16">
      <c r="B16" s="87" t="s">
        <v>72</v>
      </c>
      <c r="C16" s="3"/>
      <c r="D16" s="3"/>
      <c r="E16" s="3"/>
      <c r="F16" s="3"/>
      <c r="G16" s="3"/>
      <c r="H16" s="3"/>
      <c r="I16" s="3"/>
      <c r="J16" s="4"/>
      <c r="K16" s="88" t="s">
        <v>73</v>
      </c>
      <c r="L16" s="3"/>
      <c r="M16" s="3"/>
      <c r="N16" s="3"/>
      <c r="O16" s="3"/>
      <c r="P16" s="3"/>
      <c r="Q16" s="3"/>
      <c r="R16" s="89" t="s">
        <v>74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4"/>
    </row>
    <row r="17">
      <c r="B17" s="90" t="s">
        <v>75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/>
    </row>
    <row r="19">
      <c r="B19" s="87" t="s">
        <v>72</v>
      </c>
      <c r="C19" s="3"/>
      <c r="D19" s="3"/>
      <c r="E19" s="3"/>
      <c r="F19" s="3"/>
      <c r="G19" s="3"/>
      <c r="H19" s="3"/>
      <c r="I19" s="3"/>
      <c r="J19" s="4"/>
      <c r="K19" s="88" t="s">
        <v>73</v>
      </c>
      <c r="L19" s="3"/>
      <c r="M19" s="3"/>
      <c r="N19" s="3"/>
      <c r="O19" s="3"/>
      <c r="P19" s="3"/>
      <c r="Q19" s="3"/>
      <c r="R19" s="89" t="s">
        <v>74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</row>
    <row r="20">
      <c r="B20" s="90" t="s">
        <v>75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/>
    </row>
    <row r="22">
      <c r="B22" s="87" t="s">
        <v>72</v>
      </c>
      <c r="C22" s="3"/>
      <c r="D22" s="3"/>
      <c r="E22" s="3"/>
      <c r="F22" s="3"/>
      <c r="G22" s="3"/>
      <c r="H22" s="3"/>
      <c r="I22" s="3"/>
      <c r="J22" s="4"/>
      <c r="K22" s="88" t="s">
        <v>73</v>
      </c>
      <c r="L22" s="3"/>
      <c r="M22" s="3"/>
      <c r="N22" s="3"/>
      <c r="O22" s="3"/>
      <c r="P22" s="3"/>
      <c r="Q22" s="3"/>
      <c r="R22" s="89" t="s">
        <v>74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</row>
    <row r="23">
      <c r="B23" s="90" t="s">
        <v>75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</row>
    <row r="25">
      <c r="B25" s="87" t="s">
        <v>72</v>
      </c>
      <c r="C25" s="3"/>
      <c r="D25" s="3"/>
      <c r="E25" s="3"/>
      <c r="F25" s="3"/>
      <c r="G25" s="3"/>
      <c r="H25" s="3"/>
      <c r="I25" s="3"/>
      <c r="J25" s="4"/>
      <c r="K25" s="88" t="s">
        <v>73</v>
      </c>
      <c r="L25" s="3"/>
      <c r="M25" s="3"/>
      <c r="N25" s="3"/>
      <c r="O25" s="3"/>
      <c r="P25" s="3"/>
      <c r="Q25" s="3"/>
      <c r="R25" s="89" t="s">
        <v>74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4"/>
    </row>
    <row r="26">
      <c r="B26" s="90" t="s">
        <v>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/>
    </row>
    <row r="28">
      <c r="B28" s="87" t="s">
        <v>72</v>
      </c>
      <c r="C28" s="3"/>
      <c r="D28" s="3"/>
      <c r="E28" s="3"/>
      <c r="F28" s="3"/>
      <c r="G28" s="3"/>
      <c r="H28" s="3"/>
      <c r="I28" s="3"/>
      <c r="J28" s="4"/>
      <c r="K28" s="88" t="s">
        <v>73</v>
      </c>
      <c r="L28" s="3"/>
      <c r="M28" s="3"/>
      <c r="N28" s="3"/>
      <c r="O28" s="3"/>
      <c r="P28" s="3"/>
      <c r="Q28" s="3"/>
      <c r="R28" s="89" t="s">
        <v>74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</row>
    <row r="29">
      <c r="B29" s="90" t="s">
        <v>75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</row>
    <row r="31">
      <c r="B31" s="87" t="s">
        <v>72</v>
      </c>
      <c r="C31" s="3"/>
      <c r="D31" s="3"/>
      <c r="E31" s="3"/>
      <c r="F31" s="3"/>
      <c r="G31" s="3"/>
      <c r="H31" s="3"/>
      <c r="I31" s="3"/>
      <c r="J31" s="4"/>
      <c r="K31" s="88" t="s">
        <v>73</v>
      </c>
      <c r="L31" s="3"/>
      <c r="M31" s="3"/>
      <c r="N31" s="3"/>
      <c r="O31" s="3"/>
      <c r="P31" s="3"/>
      <c r="Q31" s="3"/>
      <c r="R31" s="89" t="s">
        <v>74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</row>
    <row r="32">
      <c r="B32" s="90" t="s">
        <v>75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/>
    </row>
    <row r="34">
      <c r="B34" s="87" t="s">
        <v>72</v>
      </c>
      <c r="C34" s="3"/>
      <c r="D34" s="3"/>
      <c r="E34" s="3"/>
      <c r="F34" s="3"/>
      <c r="G34" s="3"/>
      <c r="H34" s="3"/>
      <c r="I34" s="3"/>
      <c r="J34" s="4"/>
      <c r="K34" s="88" t="s">
        <v>73</v>
      </c>
      <c r="L34" s="3"/>
      <c r="M34" s="3"/>
      <c r="N34" s="3"/>
      <c r="O34" s="3"/>
      <c r="P34" s="3"/>
      <c r="Q34" s="3"/>
      <c r="R34" s="89" t="s">
        <v>74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4"/>
    </row>
    <row r="35">
      <c r="B35" s="90" t="s">
        <v>75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</row>
    <row r="37">
      <c r="B37" s="87" t="s">
        <v>72</v>
      </c>
      <c r="C37" s="3"/>
      <c r="D37" s="3"/>
      <c r="E37" s="3"/>
      <c r="F37" s="3"/>
      <c r="G37" s="3"/>
      <c r="H37" s="3"/>
      <c r="I37" s="3"/>
      <c r="J37" s="4"/>
      <c r="K37" s="88" t="s">
        <v>73</v>
      </c>
      <c r="L37" s="3"/>
      <c r="M37" s="3"/>
      <c r="N37" s="3"/>
      <c r="O37" s="3"/>
      <c r="P37" s="3"/>
      <c r="Q37" s="3"/>
      <c r="R37" s="89" t="s">
        <v>74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4"/>
    </row>
    <row r="38">
      <c r="B38" s="90" t="s">
        <v>75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</row>
    <row r="40">
      <c r="B40" s="87" t="s">
        <v>72</v>
      </c>
      <c r="C40" s="3"/>
      <c r="D40" s="3"/>
      <c r="E40" s="3"/>
      <c r="F40" s="3"/>
      <c r="G40" s="3"/>
      <c r="H40" s="3"/>
      <c r="I40" s="3"/>
      <c r="J40" s="4"/>
      <c r="K40" s="88" t="s">
        <v>73</v>
      </c>
      <c r="L40" s="3"/>
      <c r="M40" s="3"/>
      <c r="N40" s="3"/>
      <c r="O40" s="3"/>
      <c r="P40" s="3"/>
      <c r="Q40" s="3"/>
      <c r="R40" s="89" t="s">
        <v>74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</row>
    <row r="41">
      <c r="B41" s="90" t="s">
        <v>75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</row>
    <row r="43">
      <c r="B43" s="87" t="s">
        <v>72</v>
      </c>
      <c r="C43" s="3"/>
      <c r="D43" s="3"/>
      <c r="E43" s="3"/>
      <c r="F43" s="3"/>
      <c r="G43" s="3"/>
      <c r="H43" s="3"/>
      <c r="I43" s="3"/>
      <c r="J43" s="4"/>
      <c r="K43" s="88" t="s">
        <v>73</v>
      </c>
      <c r="L43" s="3"/>
      <c r="M43" s="3"/>
      <c r="N43" s="3"/>
      <c r="O43" s="3"/>
      <c r="P43" s="3"/>
      <c r="Q43" s="3"/>
      <c r="R43" s="89" t="s">
        <v>74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</row>
    <row r="44">
      <c r="B44" s="90" t="s">
        <v>75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</row>
    <row r="46">
      <c r="B46" s="87" t="s">
        <v>72</v>
      </c>
      <c r="C46" s="3"/>
      <c r="D46" s="3"/>
      <c r="E46" s="3"/>
      <c r="F46" s="3"/>
      <c r="G46" s="3"/>
      <c r="H46" s="3"/>
      <c r="I46" s="3"/>
      <c r="J46" s="4"/>
      <c r="K46" s="88" t="s">
        <v>73</v>
      </c>
      <c r="L46" s="3"/>
      <c r="M46" s="3"/>
      <c r="N46" s="3"/>
      <c r="O46" s="3"/>
      <c r="P46" s="3"/>
      <c r="Q46" s="3"/>
      <c r="R46" s="89" t="s">
        <v>74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</row>
    <row r="47">
      <c r="B47" s="90" t="s">
        <v>75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</row>
    <row r="49">
      <c r="B49" s="87" t="s">
        <v>72</v>
      </c>
      <c r="C49" s="3"/>
      <c r="D49" s="3"/>
      <c r="E49" s="3"/>
      <c r="F49" s="3"/>
      <c r="G49" s="3"/>
      <c r="H49" s="3"/>
      <c r="I49" s="3"/>
      <c r="J49" s="4"/>
      <c r="K49" s="88" t="s">
        <v>73</v>
      </c>
      <c r="L49" s="3"/>
      <c r="M49" s="3"/>
      <c r="N49" s="3"/>
      <c r="O49" s="3"/>
      <c r="P49" s="3"/>
      <c r="Q49" s="3"/>
      <c r="R49" s="89" t="s">
        <v>74</v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</row>
    <row r="50">
      <c r="B50" s="90" t="s">
        <v>75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</row>
  </sheetData>
  <mergeCells count="65">
    <mergeCell ref="B25:J25"/>
    <mergeCell ref="B28:J28"/>
    <mergeCell ref="K28:Q28"/>
    <mergeCell ref="R28:AD28"/>
    <mergeCell ref="B29:AD29"/>
    <mergeCell ref="B31:J31"/>
    <mergeCell ref="K31:Q31"/>
    <mergeCell ref="R31:AD31"/>
    <mergeCell ref="B32:AD32"/>
    <mergeCell ref="B34:J34"/>
    <mergeCell ref="K34:Q34"/>
    <mergeCell ref="R34:AD34"/>
    <mergeCell ref="B35:AD35"/>
    <mergeCell ref="B37:J37"/>
    <mergeCell ref="B46:J46"/>
    <mergeCell ref="B49:J49"/>
    <mergeCell ref="K49:Q49"/>
    <mergeCell ref="R49:AD49"/>
    <mergeCell ref="B50:AD50"/>
    <mergeCell ref="B43:J43"/>
    <mergeCell ref="K43:Q43"/>
    <mergeCell ref="R43:AD43"/>
    <mergeCell ref="B44:AD44"/>
    <mergeCell ref="K46:Q46"/>
    <mergeCell ref="R46:AD46"/>
    <mergeCell ref="B47:AD47"/>
    <mergeCell ref="B2:AD3"/>
    <mergeCell ref="B4:J4"/>
    <mergeCell ref="K4:Q4"/>
    <mergeCell ref="R4:AD4"/>
    <mergeCell ref="B5:AD5"/>
    <mergeCell ref="B7:J7"/>
    <mergeCell ref="K7:Q7"/>
    <mergeCell ref="K13:Q13"/>
    <mergeCell ref="R13:AD13"/>
    <mergeCell ref="R7:AD7"/>
    <mergeCell ref="B8:AD8"/>
    <mergeCell ref="B10:J10"/>
    <mergeCell ref="K10:Q10"/>
    <mergeCell ref="R10:AD10"/>
    <mergeCell ref="B11:AD11"/>
    <mergeCell ref="B14:AD14"/>
    <mergeCell ref="B13:J13"/>
    <mergeCell ref="B16:J16"/>
    <mergeCell ref="K16:Q16"/>
    <mergeCell ref="R16:AD16"/>
    <mergeCell ref="B17:AD17"/>
    <mergeCell ref="B19:J19"/>
    <mergeCell ref="K19:Q19"/>
    <mergeCell ref="K25:Q25"/>
    <mergeCell ref="R25:AD25"/>
    <mergeCell ref="R19:AD19"/>
    <mergeCell ref="B20:AD20"/>
    <mergeCell ref="B22:J22"/>
    <mergeCell ref="K22:Q22"/>
    <mergeCell ref="R22:AD22"/>
    <mergeCell ref="B23:AD23"/>
    <mergeCell ref="B26:AD26"/>
    <mergeCell ref="K37:Q37"/>
    <mergeCell ref="R37:AD37"/>
    <mergeCell ref="B38:AD38"/>
    <mergeCell ref="B40:J40"/>
    <mergeCell ref="K40:Q40"/>
    <mergeCell ref="R40:AD40"/>
    <mergeCell ref="B41:AD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3.0"/>
  </cols>
  <sheetData>
    <row r="1">
      <c r="Q1" s="1"/>
    </row>
    <row r="2">
      <c r="B2" s="91" t="s">
        <v>76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</row>
    <row r="3">
      <c r="B3" s="3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</row>
    <row r="5">
      <c r="B5" s="53" t="s">
        <v>77</v>
      </c>
      <c r="C5" s="22"/>
      <c r="D5" s="23"/>
      <c r="E5" s="92" t="s">
        <v>78</v>
      </c>
      <c r="F5" s="22"/>
      <c r="G5" s="23"/>
      <c r="I5" s="55" t="s">
        <v>79</v>
      </c>
      <c r="J5" s="3"/>
      <c r="K5" s="3"/>
      <c r="L5" s="3"/>
      <c r="M5" s="4"/>
      <c r="N5" s="71"/>
      <c r="O5" s="22"/>
      <c r="P5" s="22"/>
      <c r="Q5" s="22"/>
      <c r="R5" s="23"/>
      <c r="S5" s="71"/>
      <c r="T5" s="22"/>
      <c r="U5" s="22"/>
      <c r="V5" s="22"/>
      <c r="W5" s="23"/>
      <c r="Y5" s="53" t="s">
        <v>80</v>
      </c>
      <c r="Z5" s="22"/>
      <c r="AA5" s="23"/>
      <c r="AB5" s="53" t="s">
        <v>80</v>
      </c>
      <c r="AC5" s="22"/>
      <c r="AD5" s="23"/>
    </row>
    <row r="6">
      <c r="B6" s="31"/>
      <c r="C6" s="8"/>
      <c r="D6" s="9"/>
      <c r="E6" s="31"/>
      <c r="F6" s="8"/>
      <c r="G6" s="9"/>
      <c r="I6" s="71"/>
      <c r="J6" s="22"/>
      <c r="K6" s="22"/>
      <c r="L6" s="22"/>
      <c r="M6" s="23"/>
      <c r="N6" s="70"/>
      <c r="R6" s="13"/>
      <c r="S6" s="70"/>
      <c r="W6" s="13"/>
      <c r="Y6" s="60" t="s">
        <v>81</v>
      </c>
      <c r="Z6" s="8"/>
      <c r="AA6" s="9"/>
      <c r="AB6" s="60" t="s">
        <v>82</v>
      </c>
      <c r="AC6" s="8"/>
      <c r="AD6" s="9"/>
    </row>
    <row r="7">
      <c r="B7" s="93">
        <f>ROUNDUP('Character Sheet'!AB7/2,0)</f>
        <v>1</v>
      </c>
      <c r="C7" s="22"/>
      <c r="D7" s="23"/>
      <c r="E7" s="86">
        <v>0.0</v>
      </c>
      <c r="F7" s="22"/>
      <c r="G7" s="23"/>
      <c r="I7" s="70"/>
      <c r="M7" s="13"/>
      <c r="N7" s="70"/>
      <c r="R7" s="13"/>
      <c r="S7" s="70"/>
      <c r="W7" s="13"/>
      <c r="Y7" s="94">
        <v>0.0</v>
      </c>
      <c r="Z7" s="22"/>
      <c r="AA7" s="23"/>
      <c r="AB7" s="95">
        <v>2.0</v>
      </c>
      <c r="AC7" s="22"/>
      <c r="AD7" s="23"/>
    </row>
    <row r="8">
      <c r="B8" s="33"/>
      <c r="D8" s="13"/>
      <c r="E8" s="33"/>
      <c r="G8" s="13"/>
      <c r="I8" s="70"/>
      <c r="M8" s="13"/>
      <c r="N8" s="70"/>
      <c r="R8" s="13"/>
      <c r="S8" s="70"/>
      <c r="W8" s="13"/>
      <c r="Y8" s="33"/>
      <c r="AA8" s="13"/>
      <c r="AB8" s="33"/>
      <c r="AD8" s="13"/>
    </row>
    <row r="9">
      <c r="B9" s="31"/>
      <c r="C9" s="8"/>
      <c r="D9" s="9"/>
      <c r="E9" s="31"/>
      <c r="F9" s="8"/>
      <c r="G9" s="9"/>
      <c r="I9" s="70"/>
      <c r="M9" s="13"/>
      <c r="N9" s="70"/>
      <c r="R9" s="13"/>
      <c r="S9" s="70"/>
      <c r="W9" s="13"/>
      <c r="Y9" s="31"/>
      <c r="Z9" s="8"/>
      <c r="AA9" s="9"/>
      <c r="AB9" s="31"/>
      <c r="AC9" s="8"/>
      <c r="AD9" s="9"/>
    </row>
    <row r="10">
      <c r="I10" s="74"/>
      <c r="J10" s="8"/>
      <c r="K10" s="8"/>
      <c r="L10" s="8"/>
      <c r="M10" s="9"/>
      <c r="N10" s="74"/>
      <c r="O10" s="8"/>
      <c r="P10" s="8"/>
      <c r="Q10" s="8"/>
      <c r="R10" s="9"/>
      <c r="S10" s="74"/>
      <c r="T10" s="8"/>
      <c r="U10" s="8"/>
      <c r="V10" s="8"/>
      <c r="W10" s="9"/>
    </row>
    <row r="12">
      <c r="B12" s="96" t="s">
        <v>31</v>
      </c>
      <c r="C12" s="3"/>
      <c r="D12" s="3"/>
      <c r="E12" s="3"/>
      <c r="F12" s="3"/>
      <c r="G12" s="3"/>
      <c r="H12" s="3"/>
      <c r="I12" s="3"/>
      <c r="J12" s="4"/>
      <c r="K12" s="96" t="s">
        <v>83</v>
      </c>
      <c r="L12" s="3"/>
      <c r="M12" s="3"/>
      <c r="N12" s="3"/>
      <c r="O12" s="3"/>
      <c r="P12" s="4"/>
      <c r="Q12" s="96" t="s">
        <v>84</v>
      </c>
      <c r="R12" s="3"/>
      <c r="S12" s="3"/>
      <c r="T12" s="3"/>
      <c r="U12" s="3"/>
      <c r="V12" s="4"/>
      <c r="W12" s="96" t="s">
        <v>85</v>
      </c>
      <c r="X12" s="3"/>
      <c r="Y12" s="3"/>
      <c r="Z12" s="3"/>
      <c r="AA12" s="3"/>
      <c r="AB12" s="3"/>
      <c r="AC12" s="3"/>
      <c r="AD12" s="4"/>
    </row>
    <row r="13">
      <c r="B13" s="96" t="s">
        <v>20</v>
      </c>
      <c r="C13" s="4"/>
      <c r="D13" s="96" t="s">
        <v>86</v>
      </c>
      <c r="E13" s="3"/>
      <c r="F13" s="3"/>
      <c r="G13" s="4"/>
      <c r="H13" s="96" t="s">
        <v>87</v>
      </c>
      <c r="I13" s="3"/>
      <c r="J13" s="3"/>
      <c r="K13" s="3"/>
      <c r="L13" s="3"/>
      <c r="M13" s="3"/>
      <c r="N13" s="96" t="s">
        <v>88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/>
    </row>
    <row r="14">
      <c r="B14" s="97" t="s">
        <v>89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/>
    </row>
    <row r="15"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</row>
    <row r="16">
      <c r="B16" s="99" t="s">
        <v>72</v>
      </c>
      <c r="C16" s="3"/>
      <c r="D16" s="3"/>
      <c r="E16" s="3"/>
      <c r="F16" s="3"/>
      <c r="G16" s="3"/>
      <c r="H16" s="3"/>
      <c r="I16" s="3"/>
      <c r="J16" s="4"/>
      <c r="K16" s="99" t="s">
        <v>90</v>
      </c>
      <c r="L16" s="3"/>
      <c r="M16" s="3"/>
      <c r="N16" s="3"/>
      <c r="O16" s="3"/>
      <c r="P16" s="4"/>
      <c r="Q16" s="100" t="s">
        <v>91</v>
      </c>
      <c r="R16" s="3"/>
      <c r="S16" s="3"/>
      <c r="T16" s="3"/>
      <c r="U16" s="3"/>
      <c r="V16" s="4"/>
      <c r="W16" s="99" t="s">
        <v>92</v>
      </c>
      <c r="X16" s="3"/>
      <c r="Y16" s="3"/>
      <c r="Z16" s="3"/>
      <c r="AA16" s="3"/>
      <c r="AB16" s="3"/>
      <c r="AC16" s="3"/>
      <c r="AD16" s="4"/>
    </row>
    <row r="17">
      <c r="B17" s="101" t="s">
        <v>93</v>
      </c>
      <c r="C17" s="4"/>
      <c r="D17" s="101" t="s">
        <v>94</v>
      </c>
      <c r="E17" s="3"/>
      <c r="F17" s="3"/>
      <c r="G17" s="4"/>
      <c r="H17" s="101" t="s">
        <v>95</v>
      </c>
      <c r="I17" s="3"/>
      <c r="J17" s="3"/>
      <c r="K17" s="3"/>
      <c r="L17" s="3"/>
      <c r="M17" s="3"/>
      <c r="N17" s="51" t="s">
        <v>96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/>
    </row>
    <row r="18">
      <c r="B18" s="102" t="s">
        <v>75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4"/>
    </row>
    <row r="19">
      <c r="B19" s="96" t="str">
        <f>IFS(OR(Q16 = "Attack Check", Q16 = "Skill Check"), "Success", Q16 = "DC Check", "Failure")</f>
        <v>Success</v>
      </c>
      <c r="C19" s="3"/>
      <c r="D19" s="3"/>
      <c r="E19" s="3"/>
      <c r="F19" s="3"/>
      <c r="G19" s="3"/>
      <c r="H19" s="3"/>
      <c r="I19" s="4"/>
      <c r="J19" s="96" t="str">
        <f>IFS(Q16 = "Attack Check", "Deadly Success", Q16 = "Skill Check", "Complete Success",Q16 = "DC Check", "Deadly Failure")</f>
        <v>Complete Success</v>
      </c>
      <c r="K19" s="3"/>
      <c r="L19" s="3"/>
      <c r="M19" s="3"/>
      <c r="N19" s="3"/>
      <c r="O19" s="3"/>
      <c r="P19" s="3"/>
      <c r="Q19" s="4"/>
      <c r="R19" s="96" t="str">
        <f>IFS(OR(Q16 = "Attack Check", Q16 = "Skill Check"), "Failure", Q16 = "DC Check", "Success")</f>
        <v>Failure</v>
      </c>
      <c r="S19" s="3"/>
      <c r="T19" s="3"/>
      <c r="U19" s="3"/>
      <c r="V19" s="3"/>
      <c r="W19" s="3"/>
      <c r="X19" s="4"/>
      <c r="Y19" s="96" t="str">
        <f>IFS(OR(Q16 = "Attack Check",Q16 = "Skill Check"), "Complete Failure", Q16 = "DC Check", "Complete Success")</f>
        <v>Complete Failure</v>
      </c>
      <c r="Z19" s="3"/>
      <c r="AA19" s="3"/>
      <c r="AB19" s="3"/>
      <c r="AC19" s="3"/>
      <c r="AD19" s="4"/>
    </row>
    <row r="20">
      <c r="B20" s="103"/>
      <c r="C20" s="3"/>
      <c r="D20" s="3"/>
      <c r="E20" s="3"/>
      <c r="F20" s="3"/>
      <c r="G20" s="3"/>
      <c r="H20" s="3"/>
      <c r="I20" s="4"/>
      <c r="J20" s="103"/>
      <c r="K20" s="3"/>
      <c r="L20" s="3"/>
      <c r="M20" s="3"/>
      <c r="N20" s="3"/>
      <c r="O20" s="3"/>
      <c r="P20" s="3"/>
      <c r="Q20" s="4"/>
      <c r="R20" s="103"/>
      <c r="S20" s="3"/>
      <c r="T20" s="3"/>
      <c r="U20" s="3"/>
      <c r="V20" s="3"/>
      <c r="W20" s="3"/>
      <c r="X20" s="4"/>
      <c r="Y20" s="103"/>
      <c r="Z20" s="3"/>
      <c r="AA20" s="3"/>
      <c r="AB20" s="3"/>
      <c r="AC20" s="3"/>
      <c r="AD20" s="4"/>
    </row>
    <row r="21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</row>
    <row r="22">
      <c r="B22" s="99" t="s">
        <v>72</v>
      </c>
      <c r="C22" s="3"/>
      <c r="D22" s="3"/>
      <c r="E22" s="3"/>
      <c r="F22" s="3"/>
      <c r="G22" s="3"/>
      <c r="H22" s="3"/>
      <c r="I22" s="3"/>
      <c r="J22" s="4"/>
      <c r="K22" s="99" t="s">
        <v>90</v>
      </c>
      <c r="L22" s="3"/>
      <c r="M22" s="3"/>
      <c r="N22" s="3"/>
      <c r="O22" s="3"/>
      <c r="P22" s="4"/>
      <c r="Q22" s="101" t="s">
        <v>91</v>
      </c>
      <c r="R22" s="3"/>
      <c r="S22" s="3"/>
      <c r="T22" s="3"/>
      <c r="U22" s="3"/>
      <c r="V22" s="4"/>
      <c r="W22" s="99" t="s">
        <v>92</v>
      </c>
      <c r="X22" s="3"/>
      <c r="Y22" s="3"/>
      <c r="Z22" s="3"/>
      <c r="AA22" s="3"/>
      <c r="AB22" s="3"/>
      <c r="AC22" s="3"/>
      <c r="AD22" s="4"/>
    </row>
    <row r="23">
      <c r="B23" s="101" t="s">
        <v>93</v>
      </c>
      <c r="C23" s="4"/>
      <c r="D23" s="101" t="s">
        <v>94</v>
      </c>
      <c r="E23" s="3"/>
      <c r="F23" s="3"/>
      <c r="G23" s="4"/>
      <c r="H23" s="101" t="s">
        <v>95</v>
      </c>
      <c r="I23" s="3"/>
      <c r="J23" s="3"/>
      <c r="K23" s="3"/>
      <c r="L23" s="3"/>
      <c r="M23" s="3"/>
      <c r="N23" s="51" t="s">
        <v>96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</row>
    <row r="24">
      <c r="B24" s="102" t="s">
        <v>75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</row>
    <row r="25">
      <c r="B25" s="96" t="str">
        <f>IFS(OR(Q22 = "Attack Check", Q22 = "Skill Check"), "Success", Q22 = "DC Check", "Failure")</f>
        <v>Success</v>
      </c>
      <c r="C25" s="3"/>
      <c r="D25" s="3"/>
      <c r="E25" s="3"/>
      <c r="F25" s="3"/>
      <c r="G25" s="3"/>
      <c r="H25" s="3"/>
      <c r="I25" s="4"/>
      <c r="J25" s="96" t="str">
        <f>IFS(Q22 = "Attack Check", "Deadly Success", Q22 = "Skill Check", "Complete Success",Q22 = "DC Check", "Deadly Failure")</f>
        <v>Complete Success</v>
      </c>
      <c r="K25" s="3"/>
      <c r="L25" s="3"/>
      <c r="M25" s="3"/>
      <c r="N25" s="3"/>
      <c r="O25" s="3"/>
      <c r="P25" s="3"/>
      <c r="Q25" s="4"/>
      <c r="R25" s="96" t="str">
        <f>IFS(OR(Q22 = "Attack Check", Q22 = "Skill Check"), "Failure", Q22 = "DC Check", "Success")</f>
        <v>Failure</v>
      </c>
      <c r="S25" s="3"/>
      <c r="T25" s="3"/>
      <c r="U25" s="3"/>
      <c r="V25" s="3"/>
      <c r="W25" s="3"/>
      <c r="X25" s="4"/>
      <c r="Y25" s="96" t="str">
        <f>IFS(OR(Q22 = "Attack Check",Q22 = "Skill Check"), "Complete Failure", Q22 = "DC Check", "Complete Success")</f>
        <v>Complete Failure</v>
      </c>
      <c r="Z25" s="3"/>
      <c r="AA25" s="3"/>
      <c r="AB25" s="3"/>
      <c r="AC25" s="3"/>
      <c r="AD25" s="4"/>
    </row>
    <row r="26">
      <c r="B26" s="103"/>
      <c r="C26" s="3"/>
      <c r="D26" s="3"/>
      <c r="E26" s="3"/>
      <c r="F26" s="3"/>
      <c r="G26" s="3"/>
      <c r="H26" s="3"/>
      <c r="I26" s="4"/>
      <c r="J26" s="103"/>
      <c r="K26" s="3"/>
      <c r="L26" s="3"/>
      <c r="M26" s="3"/>
      <c r="N26" s="3"/>
      <c r="O26" s="3"/>
      <c r="P26" s="3"/>
      <c r="Q26" s="4"/>
      <c r="R26" s="103"/>
      <c r="S26" s="3"/>
      <c r="T26" s="3"/>
      <c r="U26" s="3"/>
      <c r="V26" s="3"/>
      <c r="W26" s="3"/>
      <c r="X26" s="4"/>
      <c r="Y26" s="103"/>
      <c r="Z26" s="3"/>
      <c r="AA26" s="3"/>
      <c r="AB26" s="3"/>
      <c r="AC26" s="3"/>
      <c r="AD26" s="4"/>
    </row>
    <row r="27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</row>
    <row r="28">
      <c r="B28" s="99" t="s">
        <v>72</v>
      </c>
      <c r="C28" s="3"/>
      <c r="D28" s="3"/>
      <c r="E28" s="3"/>
      <c r="F28" s="3"/>
      <c r="G28" s="3"/>
      <c r="H28" s="3"/>
      <c r="I28" s="3"/>
      <c r="J28" s="4"/>
      <c r="K28" s="99" t="s">
        <v>90</v>
      </c>
      <c r="L28" s="3"/>
      <c r="M28" s="3"/>
      <c r="N28" s="3"/>
      <c r="O28" s="3"/>
      <c r="P28" s="4"/>
      <c r="Q28" s="101" t="s">
        <v>91</v>
      </c>
      <c r="R28" s="3"/>
      <c r="S28" s="3"/>
      <c r="T28" s="3"/>
      <c r="U28" s="3"/>
      <c r="V28" s="4"/>
      <c r="W28" s="99" t="s">
        <v>92</v>
      </c>
      <c r="X28" s="3"/>
      <c r="Y28" s="3"/>
      <c r="Z28" s="3"/>
      <c r="AA28" s="3"/>
      <c r="AB28" s="3"/>
      <c r="AC28" s="3"/>
      <c r="AD28" s="4"/>
    </row>
    <row r="29">
      <c r="B29" s="101" t="s">
        <v>93</v>
      </c>
      <c r="C29" s="4"/>
      <c r="D29" s="101" t="s">
        <v>94</v>
      </c>
      <c r="E29" s="3"/>
      <c r="F29" s="3"/>
      <c r="G29" s="4"/>
      <c r="H29" s="101" t="s">
        <v>95</v>
      </c>
      <c r="I29" s="3"/>
      <c r="J29" s="3"/>
      <c r="K29" s="3"/>
      <c r="L29" s="3"/>
      <c r="M29" s="3"/>
      <c r="N29" s="51" t="s">
        <v>96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</row>
    <row r="30">
      <c r="B30" s="102" t="s">
        <v>75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</row>
    <row r="31">
      <c r="B31" s="96" t="str">
        <f>IFS(OR(Q28 = "Attack Check", Q28 = "Skill Check"), "Success", Q28 = "DC Check", "Failure")</f>
        <v>Success</v>
      </c>
      <c r="C31" s="3"/>
      <c r="D31" s="3"/>
      <c r="E31" s="3"/>
      <c r="F31" s="3"/>
      <c r="G31" s="3"/>
      <c r="H31" s="3"/>
      <c r="I31" s="4"/>
      <c r="J31" s="96" t="str">
        <f>IFS(Q28 = "Attack Check", "Deadly Success", Q28 = "Skill Check", "Complete Success",Q28 = "DC Check", "Deadly Failure")</f>
        <v>Complete Success</v>
      </c>
      <c r="K31" s="3"/>
      <c r="L31" s="3"/>
      <c r="M31" s="3"/>
      <c r="N31" s="3"/>
      <c r="O31" s="3"/>
      <c r="P31" s="3"/>
      <c r="Q31" s="4"/>
      <c r="R31" s="96" t="str">
        <f>IFS(OR(Q28 = "Attack Check", Q28 = "Skill Check"), "Failure", Q28 = "DC Check", "Success")</f>
        <v>Failure</v>
      </c>
      <c r="S31" s="3"/>
      <c r="T31" s="3"/>
      <c r="U31" s="3"/>
      <c r="V31" s="3"/>
      <c r="W31" s="3"/>
      <c r="X31" s="4"/>
      <c r="Y31" s="96" t="str">
        <f>IFS(OR(Q28 = "Attack Check",Q28 = "Skill Check"), "Complete Failure", Q28 = "DC Check", "Complete Success")</f>
        <v>Complete Failure</v>
      </c>
      <c r="Z31" s="3"/>
      <c r="AA31" s="3"/>
      <c r="AB31" s="3"/>
      <c r="AC31" s="3"/>
      <c r="AD31" s="4"/>
    </row>
    <row r="32">
      <c r="B32" s="103"/>
      <c r="C32" s="3"/>
      <c r="D32" s="3"/>
      <c r="E32" s="3"/>
      <c r="F32" s="3"/>
      <c r="G32" s="3"/>
      <c r="H32" s="3"/>
      <c r="I32" s="4"/>
      <c r="J32" s="103"/>
      <c r="K32" s="3"/>
      <c r="L32" s="3"/>
      <c r="M32" s="3"/>
      <c r="N32" s="3"/>
      <c r="O32" s="3"/>
      <c r="P32" s="3"/>
      <c r="Q32" s="4"/>
      <c r="R32" s="103"/>
      <c r="S32" s="3"/>
      <c r="T32" s="3"/>
      <c r="U32" s="3"/>
      <c r="V32" s="3"/>
      <c r="W32" s="3"/>
      <c r="X32" s="4"/>
      <c r="Y32" s="103"/>
      <c r="Z32" s="3"/>
      <c r="AA32" s="3"/>
      <c r="AB32" s="3"/>
      <c r="AC32" s="3"/>
      <c r="AD32" s="4"/>
    </row>
    <row r="33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</row>
    <row r="34">
      <c r="B34" s="99" t="s">
        <v>72</v>
      </c>
      <c r="C34" s="3"/>
      <c r="D34" s="3"/>
      <c r="E34" s="3"/>
      <c r="F34" s="3"/>
      <c r="G34" s="3"/>
      <c r="H34" s="3"/>
      <c r="I34" s="3"/>
      <c r="J34" s="4"/>
      <c r="K34" s="99" t="s">
        <v>90</v>
      </c>
      <c r="L34" s="3"/>
      <c r="M34" s="3"/>
      <c r="N34" s="3"/>
      <c r="O34" s="3"/>
      <c r="P34" s="4"/>
      <c r="Q34" s="101" t="s">
        <v>91</v>
      </c>
      <c r="R34" s="3"/>
      <c r="S34" s="3"/>
      <c r="T34" s="3"/>
      <c r="U34" s="3"/>
      <c r="V34" s="4"/>
      <c r="W34" s="99" t="s">
        <v>92</v>
      </c>
      <c r="X34" s="3"/>
      <c r="Y34" s="3"/>
      <c r="Z34" s="3"/>
      <c r="AA34" s="3"/>
      <c r="AB34" s="3"/>
      <c r="AC34" s="3"/>
      <c r="AD34" s="4"/>
    </row>
    <row r="35">
      <c r="B35" s="101" t="s">
        <v>93</v>
      </c>
      <c r="C35" s="4"/>
      <c r="D35" s="101" t="s">
        <v>94</v>
      </c>
      <c r="E35" s="3"/>
      <c r="F35" s="3"/>
      <c r="G35" s="4"/>
      <c r="H35" s="101" t="s">
        <v>95</v>
      </c>
      <c r="I35" s="3"/>
      <c r="J35" s="3"/>
      <c r="K35" s="3"/>
      <c r="L35" s="3"/>
      <c r="M35" s="3"/>
      <c r="N35" s="51" t="s">
        <v>96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</row>
    <row r="36">
      <c r="B36" s="102" t="s">
        <v>75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</row>
    <row r="37">
      <c r="B37" s="96" t="str">
        <f>IFS(OR(Q34 = "Attack Check", Q34 = "Skill Check"), "Success", Q34 = "DC Check", "Failure")</f>
        <v>Success</v>
      </c>
      <c r="C37" s="3"/>
      <c r="D37" s="3"/>
      <c r="E37" s="3"/>
      <c r="F37" s="3"/>
      <c r="G37" s="3"/>
      <c r="H37" s="3"/>
      <c r="I37" s="4"/>
      <c r="J37" s="96" t="str">
        <f>IFS(Q34 = "Attack Check", "Deadly Success", Q34 = "Skill Check", "Complete Success",Q34 = "DC Check", "Deadly Failure")</f>
        <v>Complete Success</v>
      </c>
      <c r="K37" s="3"/>
      <c r="L37" s="3"/>
      <c r="M37" s="3"/>
      <c r="N37" s="3"/>
      <c r="O37" s="3"/>
      <c r="P37" s="3"/>
      <c r="Q37" s="4"/>
      <c r="R37" s="96" t="str">
        <f>IFS(OR(Q34 = "Attack Check", Q34 = "Skill Check"), "Failure", Q34 = "DC Check", "Success")</f>
        <v>Failure</v>
      </c>
      <c r="S37" s="3"/>
      <c r="T37" s="3"/>
      <c r="U37" s="3"/>
      <c r="V37" s="3"/>
      <c r="W37" s="3"/>
      <c r="X37" s="4"/>
      <c r="Y37" s="96" t="str">
        <f>IFS(OR(Q34 = "Attack Check",Q34 = "Skill Check"), "Complete Failure", Q34 = "DC Check", "Complete Success")</f>
        <v>Complete Failure</v>
      </c>
      <c r="Z37" s="3"/>
      <c r="AA37" s="3"/>
      <c r="AB37" s="3"/>
      <c r="AC37" s="3"/>
      <c r="AD37" s="4"/>
    </row>
    <row r="38">
      <c r="B38" s="103"/>
      <c r="C38" s="3"/>
      <c r="D38" s="3"/>
      <c r="E38" s="3"/>
      <c r="F38" s="3"/>
      <c r="G38" s="3"/>
      <c r="H38" s="3"/>
      <c r="I38" s="4"/>
      <c r="J38" s="103"/>
      <c r="K38" s="3"/>
      <c r="L38" s="3"/>
      <c r="M38" s="3"/>
      <c r="N38" s="3"/>
      <c r="O38" s="3"/>
      <c r="P38" s="3"/>
      <c r="Q38" s="4"/>
      <c r="R38" s="103"/>
      <c r="S38" s="3"/>
      <c r="T38" s="3"/>
      <c r="U38" s="3"/>
      <c r="V38" s="3"/>
      <c r="W38" s="3"/>
      <c r="X38" s="4"/>
      <c r="Y38" s="103"/>
      <c r="Z38" s="3"/>
      <c r="AA38" s="3"/>
      <c r="AB38" s="3"/>
      <c r="AC38" s="3"/>
      <c r="AD38" s="4"/>
    </row>
    <row r="39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</row>
    <row r="40">
      <c r="B40" s="99" t="s">
        <v>72</v>
      </c>
      <c r="C40" s="3"/>
      <c r="D40" s="3"/>
      <c r="E40" s="3"/>
      <c r="F40" s="3"/>
      <c r="G40" s="3"/>
      <c r="H40" s="3"/>
      <c r="I40" s="3"/>
      <c r="J40" s="4"/>
      <c r="K40" s="99" t="s">
        <v>90</v>
      </c>
      <c r="L40" s="3"/>
      <c r="M40" s="3"/>
      <c r="N40" s="3"/>
      <c r="O40" s="3"/>
      <c r="P40" s="4"/>
      <c r="Q40" s="101" t="s">
        <v>91</v>
      </c>
      <c r="R40" s="3"/>
      <c r="S40" s="3"/>
      <c r="T40" s="3"/>
      <c r="U40" s="3"/>
      <c r="V40" s="4"/>
      <c r="W40" s="99" t="s">
        <v>92</v>
      </c>
      <c r="X40" s="3"/>
      <c r="Y40" s="3"/>
      <c r="Z40" s="3"/>
      <c r="AA40" s="3"/>
      <c r="AB40" s="3"/>
      <c r="AC40" s="3"/>
      <c r="AD40" s="4"/>
    </row>
    <row r="41">
      <c r="B41" s="101" t="s">
        <v>93</v>
      </c>
      <c r="C41" s="4"/>
      <c r="D41" s="101" t="s">
        <v>94</v>
      </c>
      <c r="E41" s="3"/>
      <c r="F41" s="3"/>
      <c r="G41" s="4"/>
      <c r="H41" s="101" t="s">
        <v>95</v>
      </c>
      <c r="I41" s="3"/>
      <c r="J41" s="3"/>
      <c r="K41" s="3"/>
      <c r="L41" s="3"/>
      <c r="M41" s="3"/>
      <c r="N41" s="51" t="s">
        <v>96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</row>
    <row r="42">
      <c r="B42" s="102" t="s">
        <v>75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</row>
    <row r="43">
      <c r="B43" s="96" t="str">
        <f>IFS(OR(Q40 = "Attack Check", Q40 = "Skill Check"), "Success", Q40 = "DC Check", "Failure")</f>
        <v>Success</v>
      </c>
      <c r="C43" s="3"/>
      <c r="D43" s="3"/>
      <c r="E43" s="3"/>
      <c r="F43" s="3"/>
      <c r="G43" s="3"/>
      <c r="H43" s="3"/>
      <c r="I43" s="4"/>
      <c r="J43" s="96" t="str">
        <f>IFS(Q40 = "Attack Check", "Deadly Success", Q40 = "Skill Check", "Complete Success",Q40 = "DC Check", "Deadly Failure")</f>
        <v>Complete Success</v>
      </c>
      <c r="K43" s="3"/>
      <c r="L43" s="3"/>
      <c r="M43" s="3"/>
      <c r="N43" s="3"/>
      <c r="O43" s="3"/>
      <c r="P43" s="3"/>
      <c r="Q43" s="4"/>
      <c r="R43" s="96" t="str">
        <f>IFS(OR(Q40 = "Attack Check", Q40 = "Skill Check"), "Failure", Q40 = "DC Check", "Success")</f>
        <v>Failure</v>
      </c>
      <c r="S43" s="3"/>
      <c r="T43" s="3"/>
      <c r="U43" s="3"/>
      <c r="V43" s="3"/>
      <c r="W43" s="3"/>
      <c r="X43" s="4"/>
      <c r="Y43" s="96" t="str">
        <f>IFS(OR(Q40 = "Attack Check",Q40 = "Skill Check"), "Complete Failure", Q40 = "DC Check", "Complete Success")</f>
        <v>Complete Failure</v>
      </c>
      <c r="Z43" s="3"/>
      <c r="AA43" s="3"/>
      <c r="AB43" s="3"/>
      <c r="AC43" s="3"/>
      <c r="AD43" s="4"/>
    </row>
    <row r="44">
      <c r="B44" s="103"/>
      <c r="C44" s="3"/>
      <c r="D44" s="3"/>
      <c r="E44" s="3"/>
      <c r="F44" s="3"/>
      <c r="G44" s="3"/>
      <c r="H44" s="3"/>
      <c r="I44" s="4"/>
      <c r="J44" s="103"/>
      <c r="K44" s="3"/>
      <c r="L44" s="3"/>
      <c r="M44" s="3"/>
      <c r="N44" s="3"/>
      <c r="O44" s="3"/>
      <c r="P44" s="3"/>
      <c r="Q44" s="4"/>
      <c r="R44" s="103"/>
      <c r="S44" s="3"/>
      <c r="T44" s="3"/>
      <c r="U44" s="3"/>
      <c r="V44" s="3"/>
      <c r="W44" s="3"/>
      <c r="X44" s="4"/>
      <c r="Y44" s="103"/>
      <c r="Z44" s="3"/>
      <c r="AA44" s="3"/>
      <c r="AB44" s="3"/>
      <c r="AC44" s="3"/>
      <c r="AD44" s="4"/>
    </row>
    <row r="45"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</row>
    <row r="46">
      <c r="B46" s="99" t="s">
        <v>72</v>
      </c>
      <c r="C46" s="3"/>
      <c r="D46" s="3"/>
      <c r="E46" s="3"/>
      <c r="F46" s="3"/>
      <c r="G46" s="3"/>
      <c r="H46" s="3"/>
      <c r="I46" s="3"/>
      <c r="J46" s="4"/>
      <c r="K46" s="99" t="s">
        <v>90</v>
      </c>
      <c r="L46" s="3"/>
      <c r="M46" s="3"/>
      <c r="N46" s="3"/>
      <c r="O46" s="3"/>
      <c r="P46" s="4"/>
      <c r="Q46" s="101" t="s">
        <v>91</v>
      </c>
      <c r="R46" s="3"/>
      <c r="S46" s="3"/>
      <c r="T46" s="3"/>
      <c r="U46" s="3"/>
      <c r="V46" s="4"/>
      <c r="W46" s="99" t="s">
        <v>92</v>
      </c>
      <c r="X46" s="3"/>
      <c r="Y46" s="3"/>
      <c r="Z46" s="3"/>
      <c r="AA46" s="3"/>
      <c r="AB46" s="3"/>
      <c r="AC46" s="3"/>
      <c r="AD46" s="4"/>
    </row>
    <row r="47">
      <c r="B47" s="101" t="s">
        <v>93</v>
      </c>
      <c r="C47" s="4"/>
      <c r="D47" s="101" t="s">
        <v>94</v>
      </c>
      <c r="E47" s="3"/>
      <c r="F47" s="3"/>
      <c r="G47" s="4"/>
      <c r="H47" s="101" t="s">
        <v>95</v>
      </c>
      <c r="I47" s="3"/>
      <c r="J47" s="3"/>
      <c r="K47" s="3"/>
      <c r="L47" s="3"/>
      <c r="M47" s="3"/>
      <c r="N47" s="51" t="s">
        <v>96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</row>
    <row r="48">
      <c r="B48" s="102" t="s">
        <v>75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</row>
    <row r="49">
      <c r="B49" s="96" t="str">
        <f>IFS(OR(Q46 = "Attack Check", Q46 = "Skill Check"), "Success", Q46 = "DC Check", "Failure")</f>
        <v>Success</v>
      </c>
      <c r="C49" s="3"/>
      <c r="D49" s="3"/>
      <c r="E49" s="3"/>
      <c r="F49" s="3"/>
      <c r="G49" s="3"/>
      <c r="H49" s="3"/>
      <c r="I49" s="4"/>
      <c r="J49" s="96" t="str">
        <f>IFS(Q46 = "Attack Check", "Deadly Success", Q46 = "Skill Check", "Complete Success",Q46 = "DC Check", "Deadly Failure")</f>
        <v>Complete Success</v>
      </c>
      <c r="K49" s="3"/>
      <c r="L49" s="3"/>
      <c r="M49" s="3"/>
      <c r="N49" s="3"/>
      <c r="O49" s="3"/>
      <c r="P49" s="3"/>
      <c r="Q49" s="4"/>
      <c r="R49" s="96" t="str">
        <f>IFS(OR(Q46 = "Attack Check", Q46 = "Skill Check"), "Failure", Q46 = "DC Check", "Success")</f>
        <v>Failure</v>
      </c>
      <c r="S49" s="3"/>
      <c r="T49" s="3"/>
      <c r="U49" s="3"/>
      <c r="V49" s="3"/>
      <c r="W49" s="3"/>
      <c r="X49" s="4"/>
      <c r="Y49" s="96" t="str">
        <f>IFS(OR(Q46 = "Attack Check",Q46 = "Skill Check"), "Complete Failure", Q46 = "DC Check", "Complete Success")</f>
        <v>Complete Failure</v>
      </c>
      <c r="Z49" s="3"/>
      <c r="AA49" s="3"/>
      <c r="AB49" s="3"/>
      <c r="AC49" s="3"/>
      <c r="AD49" s="4"/>
    </row>
    <row r="50">
      <c r="B50" s="103"/>
      <c r="C50" s="3"/>
      <c r="D50" s="3"/>
      <c r="E50" s="3"/>
      <c r="F50" s="3"/>
      <c r="G50" s="3"/>
      <c r="H50" s="3"/>
      <c r="I50" s="4"/>
      <c r="J50" s="103"/>
      <c r="K50" s="3"/>
      <c r="L50" s="3"/>
      <c r="M50" s="3"/>
      <c r="N50" s="3"/>
      <c r="O50" s="3"/>
      <c r="P50" s="3"/>
      <c r="Q50" s="4"/>
      <c r="R50" s="103"/>
      <c r="S50" s="3"/>
      <c r="T50" s="3"/>
      <c r="U50" s="3"/>
      <c r="V50" s="3"/>
      <c r="W50" s="3"/>
      <c r="X50" s="4"/>
      <c r="Y50" s="103"/>
      <c r="Z50" s="3"/>
      <c r="AA50" s="3"/>
      <c r="AB50" s="3"/>
      <c r="AC50" s="3"/>
      <c r="AD50" s="4"/>
    </row>
    <row r="51"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</row>
    <row r="52">
      <c r="B52" s="99" t="s">
        <v>72</v>
      </c>
      <c r="C52" s="3"/>
      <c r="D52" s="3"/>
      <c r="E52" s="3"/>
      <c r="F52" s="3"/>
      <c r="G52" s="3"/>
      <c r="H52" s="3"/>
      <c r="I52" s="3"/>
      <c r="J52" s="4"/>
      <c r="K52" s="99" t="s">
        <v>90</v>
      </c>
      <c r="L52" s="3"/>
      <c r="M52" s="3"/>
      <c r="N52" s="3"/>
      <c r="O52" s="3"/>
      <c r="P52" s="4"/>
      <c r="Q52" s="101" t="s">
        <v>91</v>
      </c>
      <c r="R52" s="3"/>
      <c r="S52" s="3"/>
      <c r="T52" s="3"/>
      <c r="U52" s="3"/>
      <c r="V52" s="4"/>
      <c r="W52" s="99" t="s">
        <v>92</v>
      </c>
      <c r="X52" s="3"/>
      <c r="Y52" s="3"/>
      <c r="Z52" s="3"/>
      <c r="AA52" s="3"/>
      <c r="AB52" s="3"/>
      <c r="AC52" s="3"/>
      <c r="AD52" s="4"/>
    </row>
    <row r="53">
      <c r="B53" s="101" t="s">
        <v>93</v>
      </c>
      <c r="C53" s="4"/>
      <c r="D53" s="101" t="s">
        <v>94</v>
      </c>
      <c r="E53" s="3"/>
      <c r="F53" s="3"/>
      <c r="G53" s="4"/>
      <c r="H53" s="101" t="s">
        <v>95</v>
      </c>
      <c r="I53" s="3"/>
      <c r="J53" s="3"/>
      <c r="K53" s="3"/>
      <c r="L53" s="3"/>
      <c r="M53" s="3"/>
      <c r="N53" s="51" t="s">
        <v>96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</row>
    <row r="54">
      <c r="B54" s="102" t="s">
        <v>75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</row>
    <row r="55">
      <c r="B55" s="96" t="str">
        <f>IFS(OR(Q52 = "Attack Check", Q52 = "Skill Check"), "Success", Q52 = "DC Check", "Failure")</f>
        <v>Success</v>
      </c>
      <c r="C55" s="3"/>
      <c r="D55" s="3"/>
      <c r="E55" s="3"/>
      <c r="F55" s="3"/>
      <c r="G55" s="3"/>
      <c r="H55" s="3"/>
      <c r="I55" s="4"/>
      <c r="J55" s="96" t="str">
        <f>IFS(Q52 = "Attack Check", "Deadly Success", Q52 = "Skill Check", "Complete Success",Q52 = "DC Check", "Deadly Failure")</f>
        <v>Complete Success</v>
      </c>
      <c r="K55" s="3"/>
      <c r="L55" s="3"/>
      <c r="M55" s="3"/>
      <c r="N55" s="3"/>
      <c r="O55" s="3"/>
      <c r="P55" s="3"/>
      <c r="Q55" s="4"/>
      <c r="R55" s="96" t="str">
        <f>IFS(OR(Q52 = "Attack Check", Q52 = "Skill Check"), "Failure", Q52 = "DC Check", "Success")</f>
        <v>Failure</v>
      </c>
      <c r="S55" s="3"/>
      <c r="T55" s="3"/>
      <c r="U55" s="3"/>
      <c r="V55" s="3"/>
      <c r="W55" s="3"/>
      <c r="X55" s="4"/>
      <c r="Y55" s="96" t="str">
        <f>IFS(OR(Q52 = "Attack Check",Q52 = "Skill Check"), "Complete Failure", Q52 = "DC Check", "Complete Success")</f>
        <v>Complete Failure</v>
      </c>
      <c r="Z55" s="3"/>
      <c r="AA55" s="3"/>
      <c r="AB55" s="3"/>
      <c r="AC55" s="3"/>
      <c r="AD55" s="4"/>
    </row>
    <row r="56">
      <c r="B56" s="103"/>
      <c r="C56" s="3"/>
      <c r="D56" s="3"/>
      <c r="E56" s="3"/>
      <c r="F56" s="3"/>
      <c r="G56" s="3"/>
      <c r="H56" s="3"/>
      <c r="I56" s="4"/>
      <c r="J56" s="103"/>
      <c r="K56" s="3"/>
      <c r="L56" s="3"/>
      <c r="M56" s="3"/>
      <c r="N56" s="3"/>
      <c r="O56" s="3"/>
      <c r="P56" s="3"/>
      <c r="Q56" s="4"/>
      <c r="R56" s="103"/>
      <c r="S56" s="3"/>
      <c r="T56" s="3"/>
      <c r="U56" s="3"/>
      <c r="V56" s="3"/>
      <c r="W56" s="3"/>
      <c r="X56" s="4"/>
      <c r="Y56" s="103"/>
      <c r="Z56" s="3"/>
      <c r="AA56" s="3"/>
      <c r="AB56" s="3"/>
      <c r="AC56" s="3"/>
      <c r="AD56" s="4"/>
    </row>
    <row r="57"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</row>
    <row r="58">
      <c r="B58" s="99" t="s">
        <v>72</v>
      </c>
      <c r="C58" s="3"/>
      <c r="D58" s="3"/>
      <c r="E58" s="3"/>
      <c r="F58" s="3"/>
      <c r="G58" s="3"/>
      <c r="H58" s="3"/>
      <c r="I58" s="3"/>
      <c r="J58" s="4"/>
      <c r="K58" s="99" t="s">
        <v>90</v>
      </c>
      <c r="L58" s="3"/>
      <c r="M58" s="3"/>
      <c r="N58" s="3"/>
      <c r="O58" s="3"/>
      <c r="P58" s="4"/>
      <c r="Q58" s="101" t="s">
        <v>91</v>
      </c>
      <c r="R58" s="3"/>
      <c r="S58" s="3"/>
      <c r="T58" s="3"/>
      <c r="U58" s="3"/>
      <c r="V58" s="4"/>
      <c r="W58" s="99" t="s">
        <v>92</v>
      </c>
      <c r="X58" s="3"/>
      <c r="Y58" s="3"/>
      <c r="Z58" s="3"/>
      <c r="AA58" s="3"/>
      <c r="AB58" s="3"/>
      <c r="AC58" s="3"/>
      <c r="AD58" s="4"/>
    </row>
    <row r="59">
      <c r="B59" s="101" t="s">
        <v>93</v>
      </c>
      <c r="C59" s="4"/>
      <c r="D59" s="101" t="s">
        <v>94</v>
      </c>
      <c r="E59" s="3"/>
      <c r="F59" s="3"/>
      <c r="G59" s="4"/>
      <c r="H59" s="101" t="s">
        <v>95</v>
      </c>
      <c r="I59" s="3"/>
      <c r="J59" s="3"/>
      <c r="K59" s="3"/>
      <c r="L59" s="3"/>
      <c r="M59" s="3"/>
      <c r="N59" s="51" t="s">
        <v>96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</row>
    <row r="60">
      <c r="B60" s="102" t="s">
        <v>75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</row>
    <row r="61">
      <c r="B61" s="96" t="str">
        <f>IFS(OR(Q58 = "Attack Check", Q58 = "Skill Check"), "Success", Q58 = "DC Check", "Failure")</f>
        <v>Success</v>
      </c>
      <c r="C61" s="3"/>
      <c r="D61" s="3"/>
      <c r="E61" s="3"/>
      <c r="F61" s="3"/>
      <c r="G61" s="3"/>
      <c r="H61" s="3"/>
      <c r="I61" s="4"/>
      <c r="J61" s="96" t="str">
        <f>IFS(Q58 = "Attack Check", "Deadly Success", Q58 = "Skill Check", "Complete Success",Q58 = "DC Check", "Deadly Failure")</f>
        <v>Complete Success</v>
      </c>
      <c r="K61" s="3"/>
      <c r="L61" s="3"/>
      <c r="M61" s="3"/>
      <c r="N61" s="3"/>
      <c r="O61" s="3"/>
      <c r="P61" s="3"/>
      <c r="Q61" s="4"/>
      <c r="R61" s="96" t="str">
        <f>IFS(OR(Q58 = "Attack Check", Q58 = "Skill Check"), "Failure", Q58 = "DC Check", "Success")</f>
        <v>Failure</v>
      </c>
      <c r="S61" s="3"/>
      <c r="T61" s="3"/>
      <c r="U61" s="3"/>
      <c r="V61" s="3"/>
      <c r="W61" s="3"/>
      <c r="X61" s="4"/>
      <c r="Y61" s="96" t="str">
        <f>IFS(OR(Q58 = "Attack Check",Q58 = "Skill Check"), "Complete Failure", Q58 = "DC Check", "Complete Success")</f>
        <v>Complete Failure</v>
      </c>
      <c r="Z61" s="3"/>
      <c r="AA61" s="3"/>
      <c r="AB61" s="3"/>
      <c r="AC61" s="3"/>
      <c r="AD61" s="4"/>
    </row>
    <row r="62">
      <c r="B62" s="103"/>
      <c r="C62" s="3"/>
      <c r="D62" s="3"/>
      <c r="E62" s="3"/>
      <c r="F62" s="3"/>
      <c r="G62" s="3"/>
      <c r="H62" s="3"/>
      <c r="I62" s="4"/>
      <c r="J62" s="103"/>
      <c r="K62" s="3"/>
      <c r="L62" s="3"/>
      <c r="M62" s="3"/>
      <c r="N62" s="3"/>
      <c r="O62" s="3"/>
      <c r="P62" s="3"/>
      <c r="Q62" s="4"/>
      <c r="R62" s="103"/>
      <c r="S62" s="3"/>
      <c r="T62" s="3"/>
      <c r="U62" s="3"/>
      <c r="V62" s="3"/>
      <c r="W62" s="3"/>
      <c r="X62" s="4"/>
      <c r="Y62" s="103"/>
      <c r="Z62" s="3"/>
      <c r="AA62" s="3"/>
      <c r="AB62" s="3"/>
      <c r="AC62" s="3"/>
      <c r="AD62" s="4"/>
    </row>
  </sheetData>
  <mergeCells count="174">
    <mergeCell ref="J50:Q50"/>
    <mergeCell ref="R50:X50"/>
    <mergeCell ref="B52:J52"/>
    <mergeCell ref="K52:P52"/>
    <mergeCell ref="Q52:V52"/>
    <mergeCell ref="W52:AD52"/>
    <mergeCell ref="B53:C53"/>
    <mergeCell ref="N53:AD53"/>
    <mergeCell ref="B54:AD54"/>
    <mergeCell ref="B55:I55"/>
    <mergeCell ref="J55:Q55"/>
    <mergeCell ref="R55:X55"/>
    <mergeCell ref="Y55:AD55"/>
    <mergeCell ref="B56:I56"/>
    <mergeCell ref="Y56:AD56"/>
    <mergeCell ref="N59:AD59"/>
    <mergeCell ref="B60:AD60"/>
    <mergeCell ref="J56:Q56"/>
    <mergeCell ref="R56:X56"/>
    <mergeCell ref="B58:J58"/>
    <mergeCell ref="K58:P58"/>
    <mergeCell ref="Q58:V58"/>
    <mergeCell ref="W58:AD58"/>
    <mergeCell ref="B59:C59"/>
    <mergeCell ref="J62:Q62"/>
    <mergeCell ref="R62:X62"/>
    <mergeCell ref="D59:G59"/>
    <mergeCell ref="H59:M59"/>
    <mergeCell ref="B61:I61"/>
    <mergeCell ref="J61:Q61"/>
    <mergeCell ref="R61:X61"/>
    <mergeCell ref="Y61:AD61"/>
    <mergeCell ref="B62:I62"/>
    <mergeCell ref="Y62:AD62"/>
    <mergeCell ref="B32:I32"/>
    <mergeCell ref="J32:Q32"/>
    <mergeCell ref="R32:X32"/>
    <mergeCell ref="Y32:AD32"/>
    <mergeCell ref="K34:P34"/>
    <mergeCell ref="Q34:V34"/>
    <mergeCell ref="W34:AD34"/>
    <mergeCell ref="N35:AD35"/>
    <mergeCell ref="B36:AD36"/>
    <mergeCell ref="B37:I37"/>
    <mergeCell ref="J37:Q37"/>
    <mergeCell ref="R37:X37"/>
    <mergeCell ref="Y37:AD37"/>
    <mergeCell ref="B38:I38"/>
    <mergeCell ref="Y38:AD38"/>
    <mergeCell ref="N41:AD41"/>
    <mergeCell ref="B42:AD42"/>
    <mergeCell ref="J38:Q38"/>
    <mergeCell ref="R38:X38"/>
    <mergeCell ref="B40:J40"/>
    <mergeCell ref="K40:P40"/>
    <mergeCell ref="Q40:V40"/>
    <mergeCell ref="W40:AD40"/>
    <mergeCell ref="B41:C41"/>
    <mergeCell ref="D41:G41"/>
    <mergeCell ref="H41:M41"/>
    <mergeCell ref="B43:I43"/>
    <mergeCell ref="J43:Q43"/>
    <mergeCell ref="R43:X43"/>
    <mergeCell ref="Y43:AD43"/>
    <mergeCell ref="B44:I44"/>
    <mergeCell ref="Y44:AD44"/>
    <mergeCell ref="J44:Q44"/>
    <mergeCell ref="R44:X44"/>
    <mergeCell ref="B46:J46"/>
    <mergeCell ref="K46:P46"/>
    <mergeCell ref="Q46:V46"/>
    <mergeCell ref="W46:AD46"/>
    <mergeCell ref="B47:C47"/>
    <mergeCell ref="D53:G53"/>
    <mergeCell ref="H53:M53"/>
    <mergeCell ref="I10:M10"/>
    <mergeCell ref="B12:J12"/>
    <mergeCell ref="K12:P12"/>
    <mergeCell ref="Q12:V12"/>
    <mergeCell ref="W12:AD12"/>
    <mergeCell ref="B13:C13"/>
    <mergeCell ref="B14:AD14"/>
    <mergeCell ref="D13:G13"/>
    <mergeCell ref="B16:J16"/>
    <mergeCell ref="K16:P16"/>
    <mergeCell ref="Q16:V16"/>
    <mergeCell ref="W16:AD16"/>
    <mergeCell ref="B17:C17"/>
    <mergeCell ref="D17:G17"/>
    <mergeCell ref="H17:M17"/>
    <mergeCell ref="N17:AD17"/>
    <mergeCell ref="B18:AD18"/>
    <mergeCell ref="B19:I19"/>
    <mergeCell ref="J19:Q19"/>
    <mergeCell ref="R19:X19"/>
    <mergeCell ref="Y19:AD19"/>
    <mergeCell ref="B20:I20"/>
    <mergeCell ref="J20:Q20"/>
    <mergeCell ref="R20:X20"/>
    <mergeCell ref="Y20:AD20"/>
    <mergeCell ref="K22:P22"/>
    <mergeCell ref="Q22:V22"/>
    <mergeCell ref="W22:AD22"/>
    <mergeCell ref="J25:Q25"/>
    <mergeCell ref="R25:X25"/>
    <mergeCell ref="B22:J22"/>
    <mergeCell ref="B23:C23"/>
    <mergeCell ref="D23:G23"/>
    <mergeCell ref="H23:M23"/>
    <mergeCell ref="N23:AD23"/>
    <mergeCell ref="B24:AD24"/>
    <mergeCell ref="Y25:AD25"/>
    <mergeCell ref="Q28:V28"/>
    <mergeCell ref="W28:AD28"/>
    <mergeCell ref="B25:I25"/>
    <mergeCell ref="B26:I26"/>
    <mergeCell ref="J26:Q26"/>
    <mergeCell ref="R26:X26"/>
    <mergeCell ref="Y26:AD26"/>
    <mergeCell ref="B28:J28"/>
    <mergeCell ref="K28:P28"/>
    <mergeCell ref="R31:X31"/>
    <mergeCell ref="Y31:AD31"/>
    <mergeCell ref="B29:C29"/>
    <mergeCell ref="D29:G29"/>
    <mergeCell ref="H29:M29"/>
    <mergeCell ref="N29:AD29"/>
    <mergeCell ref="B30:AD30"/>
    <mergeCell ref="B31:I31"/>
    <mergeCell ref="J31:Q31"/>
    <mergeCell ref="Y6:AA6"/>
    <mergeCell ref="AB6:AD6"/>
    <mergeCell ref="Y7:AA9"/>
    <mergeCell ref="AB7:AD9"/>
    <mergeCell ref="B2:AD3"/>
    <mergeCell ref="B5:D6"/>
    <mergeCell ref="E5:G6"/>
    <mergeCell ref="N5:R5"/>
    <mergeCell ref="S5:W5"/>
    <mergeCell ref="Y5:AA5"/>
    <mergeCell ref="AB5:AD5"/>
    <mergeCell ref="N9:R9"/>
    <mergeCell ref="N10:R10"/>
    <mergeCell ref="N6:R6"/>
    <mergeCell ref="S6:W6"/>
    <mergeCell ref="N7:R7"/>
    <mergeCell ref="S7:W7"/>
    <mergeCell ref="N8:R8"/>
    <mergeCell ref="S8:W8"/>
    <mergeCell ref="S9:W9"/>
    <mergeCell ref="S10:W10"/>
    <mergeCell ref="I5:M5"/>
    <mergeCell ref="I6:M6"/>
    <mergeCell ref="B7:D9"/>
    <mergeCell ref="E7:G9"/>
    <mergeCell ref="I7:M7"/>
    <mergeCell ref="I8:M8"/>
    <mergeCell ref="I9:M9"/>
    <mergeCell ref="H13:M13"/>
    <mergeCell ref="N13:AD13"/>
    <mergeCell ref="B34:J34"/>
    <mergeCell ref="B35:C35"/>
    <mergeCell ref="D35:G35"/>
    <mergeCell ref="H35:M35"/>
    <mergeCell ref="N47:AD47"/>
    <mergeCell ref="B48:AD48"/>
    <mergeCell ref="D47:G47"/>
    <mergeCell ref="H47:M47"/>
    <mergeCell ref="B49:I49"/>
    <mergeCell ref="J49:Q49"/>
    <mergeCell ref="R49:X49"/>
    <mergeCell ref="Y49:AD49"/>
    <mergeCell ref="B50:I50"/>
    <mergeCell ref="Y50:AD50"/>
  </mergeCells>
  <dataValidations>
    <dataValidation type="list" allowBlank="1" showErrorMessage="1" sqref="Q16 Q22 Q28 Q34 Q40 Q46 Q52 Q58">
      <formula1>"None,Attack Check,DC Check,Skill Check"</formula1>
    </dataValidation>
  </dataValidations>
  <drawing r:id="rId1"/>
</worksheet>
</file>